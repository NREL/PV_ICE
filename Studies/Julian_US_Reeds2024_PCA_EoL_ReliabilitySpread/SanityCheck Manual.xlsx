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la\Documents\GitHub\public\PV_ICE\Studies\Julian_US_Reeds2024_PCA_EoL_ReliabilitySpread\"/>
    </mc:Choice>
  </mc:AlternateContent>
  <xr:revisionPtr revIDLastSave="0" documentId="8_{DEF82587-2872-4ECE-971B-E43CA6DEA6C9}" xr6:coauthVersionLast="47" xr6:coauthVersionMax="47" xr10:uidLastSave="{00000000-0000-0000-0000-000000000000}"/>
  <bookViews>
    <workbookView xWindow="-28920" yWindow="-60" windowWidth="29040" windowHeight="15720" xr2:uid="{28D4A8AC-B727-415B-A5FC-7E9BFB6C8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Q6" i="1"/>
  <c r="L1" i="1"/>
  <c r="J1" i="1"/>
  <c r="J4" i="1" s="1"/>
  <c r="J3" i="1"/>
  <c r="K4" i="1"/>
  <c r="L4" i="1"/>
  <c r="J5" i="1"/>
  <c r="K5" i="1"/>
  <c r="L5" i="1"/>
  <c r="J6" i="1"/>
  <c r="K6" i="1"/>
  <c r="L6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K1" i="1"/>
  <c r="J7" i="1" l="1"/>
</calcChain>
</file>

<file path=xl/sharedStrings.xml><?xml version="1.0" encoding="utf-8"?>
<sst xmlns="http://schemas.openxmlformats.org/spreadsheetml/2006/main" count="111" uniqueCount="27">
  <si>
    <t>scenario</t>
  </si>
  <si>
    <t>policy</t>
  </si>
  <si>
    <t>r</t>
  </si>
  <si>
    <t>state</t>
  </si>
  <si>
    <t>country</t>
  </si>
  <si>
    <t>t</t>
  </si>
  <si>
    <t>distpv_MW</t>
  </si>
  <si>
    <t>Adv_CCS</t>
  </si>
  <si>
    <t>currentPolicies</t>
  </si>
  <si>
    <t>p1</t>
  </si>
  <si>
    <t>WA</t>
  </si>
  <si>
    <t>usa</t>
  </si>
  <si>
    <t>Mid_Case</t>
  </si>
  <si>
    <t>FRACITONS</t>
  </si>
  <si>
    <t>Marketshare</t>
  </si>
  <si>
    <t>2012    0.132160</t>
  </si>
  <si>
    <t>2013    0.223070</t>
  </si>
  <si>
    <t>2014    0.439601</t>
  </si>
  <si>
    <t>2015    0.106561</t>
  </si>
  <si>
    <t>2016    0.165816</t>
  </si>
  <si>
    <t>2017    0.130347</t>
  </si>
  <si>
    <t>2018    0.142184</t>
  </si>
  <si>
    <t>2019    0.229878</t>
  </si>
  <si>
    <t>2020    0.203759</t>
  </si>
  <si>
    <t>2021    0.190000</t>
  </si>
  <si>
    <t>2022    0.190000</t>
  </si>
  <si>
    <t>2023    0.190000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</si>
</sst>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5D1F-15BF-47BE-BCD4-720021CC14D5}">
  <dimension ref="A1:Q22"/>
  <sheetViews>
    <sheetView tabSelected="1" zoomScale="145" zoomScaleNormal="145" workbookViewId="0">
      <selection activeCell="Q12" sqref="Q12"/>
    </sheetView>
  </sheetViews>
  <sheetFormatPr defaultRowHeight="15" x14ac:dyDescent="0.25"/>
  <cols>
    <col min="17" max="17" width="12" bestFit="1" customWidth="1"/>
  </cols>
  <sheetData>
    <row r="1" spans="1:17" x14ac:dyDescent="0.25">
      <c r="I1" t="s">
        <v>13</v>
      </c>
      <c r="J1">
        <f>2/6</f>
        <v>0.33333333333333331</v>
      </c>
      <c r="K1">
        <f>2/6</f>
        <v>0.33333333333333331</v>
      </c>
      <c r="L1">
        <f>2/6</f>
        <v>0.33333333333333331</v>
      </c>
    </row>
    <row r="2" spans="1: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14</v>
      </c>
      <c r="J2">
        <v>0.19</v>
      </c>
    </row>
    <row r="3" spans="1:17" x14ac:dyDescent="0.25">
      <c r="A3" t="s">
        <v>12</v>
      </c>
      <c r="B3" t="s">
        <v>8</v>
      </c>
      <c r="C3" t="s">
        <v>9</v>
      </c>
      <c r="D3" t="s">
        <v>10</v>
      </c>
      <c r="E3" t="s">
        <v>11</v>
      </c>
      <c r="F3">
        <v>2026</v>
      </c>
      <c r="G3">
        <v>15.313302</v>
      </c>
      <c r="J3">
        <f>G3*J2</f>
        <v>2.9095273800000001</v>
      </c>
    </row>
    <row r="4" spans="1:17" x14ac:dyDescent="0.25">
      <c r="A4" t="s">
        <v>12</v>
      </c>
      <c r="B4" t="s">
        <v>8</v>
      </c>
      <c r="C4" t="s">
        <v>9</v>
      </c>
      <c r="D4" t="s">
        <v>10</v>
      </c>
      <c r="E4" t="s">
        <v>11</v>
      </c>
      <c r="F4">
        <v>2029</v>
      </c>
      <c r="G4">
        <v>15.313302</v>
      </c>
      <c r="J4">
        <f>$G4*J$1*$J$2</f>
        <v>0.96984245999999996</v>
      </c>
      <c r="K4">
        <f t="shared" ref="K3:L11" si="0">$G4*K$1*$J$2</f>
        <v>0.96984245999999996</v>
      </c>
      <c r="L4">
        <f t="shared" si="0"/>
        <v>0.96984245999999996</v>
      </c>
    </row>
    <row r="5" spans="1:17" x14ac:dyDescent="0.25">
      <c r="A5" t="s">
        <v>12</v>
      </c>
      <c r="B5" t="s">
        <v>8</v>
      </c>
      <c r="C5" t="s">
        <v>9</v>
      </c>
      <c r="D5" t="s">
        <v>10</v>
      </c>
      <c r="E5" t="s">
        <v>11</v>
      </c>
      <c r="F5">
        <v>2032</v>
      </c>
      <c r="G5">
        <v>15.313302</v>
      </c>
      <c r="J5">
        <f t="shared" ref="J4:J11" si="1">$G5*J$1*$J$2</f>
        <v>0.96984245999999996</v>
      </c>
      <c r="K5">
        <f t="shared" si="0"/>
        <v>0.96984245999999996</v>
      </c>
      <c r="L5">
        <f t="shared" si="0"/>
        <v>0.96984245999999996</v>
      </c>
    </row>
    <row r="6" spans="1:17" x14ac:dyDescent="0.25">
      <c r="A6" t="s">
        <v>12</v>
      </c>
      <c r="B6" t="s">
        <v>8</v>
      </c>
      <c r="C6" t="s">
        <v>9</v>
      </c>
      <c r="D6" t="s">
        <v>10</v>
      </c>
      <c r="E6" t="s">
        <v>11</v>
      </c>
      <c r="F6">
        <v>2035</v>
      </c>
      <c r="G6">
        <v>15.313302</v>
      </c>
      <c r="J6">
        <f t="shared" si="1"/>
        <v>0.96984245999999996</v>
      </c>
      <c r="K6">
        <f t="shared" si="0"/>
        <v>0.96984245999999996</v>
      </c>
      <c r="L6">
        <f t="shared" si="0"/>
        <v>0.96984245999999996</v>
      </c>
      <c r="N6" s="1">
        <v>2010</v>
      </c>
      <c r="O6">
        <v>0.20817099999999999</v>
      </c>
      <c r="P6">
        <v>1.7000000000000051E-5</v>
      </c>
      <c r="Q6">
        <f>O6*P6</f>
        <v>3.5389070000000103E-6</v>
      </c>
    </row>
    <row r="7" spans="1:17" x14ac:dyDescent="0.25">
      <c r="A7" t="s">
        <v>12</v>
      </c>
      <c r="B7" t="s">
        <v>8</v>
      </c>
      <c r="C7" t="s">
        <v>9</v>
      </c>
      <c r="D7" t="s">
        <v>10</v>
      </c>
      <c r="E7" t="s">
        <v>11</v>
      </c>
      <c r="F7">
        <v>2038</v>
      </c>
      <c r="G7">
        <v>15.313302</v>
      </c>
      <c r="J7">
        <f t="shared" si="1"/>
        <v>0.96984245999999996</v>
      </c>
      <c r="K7">
        <f t="shared" si="0"/>
        <v>0.96984245999999996</v>
      </c>
      <c r="L7">
        <f t="shared" si="0"/>
        <v>0.96984245999999996</v>
      </c>
      <c r="N7" s="1">
        <v>2011</v>
      </c>
      <c r="O7">
        <v>0.101313</v>
      </c>
      <c r="P7">
        <v>5.1580001000000007E-3</v>
      </c>
      <c r="Q7">
        <f>O7*P7</f>
        <v>5.2257246413130003E-4</v>
      </c>
    </row>
    <row r="8" spans="1:17" x14ac:dyDescent="0.25">
      <c r="A8" t="s">
        <v>12</v>
      </c>
      <c r="B8" t="s">
        <v>8</v>
      </c>
      <c r="C8" t="s">
        <v>9</v>
      </c>
      <c r="D8" t="s">
        <v>10</v>
      </c>
      <c r="E8" t="s">
        <v>11</v>
      </c>
      <c r="F8">
        <v>2041</v>
      </c>
      <c r="G8">
        <v>15.313302</v>
      </c>
      <c r="J8">
        <f t="shared" si="1"/>
        <v>0.96984245999999996</v>
      </c>
      <c r="K8">
        <f t="shared" si="0"/>
        <v>0.96984245999999996</v>
      </c>
      <c r="L8">
        <f t="shared" si="0"/>
        <v>0.96984245999999996</v>
      </c>
      <c r="N8" s="1" t="s">
        <v>15</v>
      </c>
      <c r="P8">
        <v>5.1580001000000007E-3</v>
      </c>
    </row>
    <row r="9" spans="1:17" x14ac:dyDescent="0.25">
      <c r="A9" t="s">
        <v>12</v>
      </c>
      <c r="B9" t="s">
        <v>8</v>
      </c>
      <c r="C9" t="s">
        <v>9</v>
      </c>
      <c r="D9" t="s">
        <v>10</v>
      </c>
      <c r="E9" t="s">
        <v>11</v>
      </c>
      <c r="F9">
        <v>2044</v>
      </c>
      <c r="G9">
        <v>15.313302</v>
      </c>
      <c r="J9">
        <f t="shared" si="1"/>
        <v>0.96984245999999996</v>
      </c>
      <c r="K9">
        <f t="shared" si="0"/>
        <v>0.96984245999999996</v>
      </c>
      <c r="L9">
        <f t="shared" si="0"/>
        <v>0.96984245999999996</v>
      </c>
      <c r="N9" s="1" t="s">
        <v>16</v>
      </c>
      <c r="P9">
        <v>7.1360003000000005E-3</v>
      </c>
    </row>
    <row r="10" spans="1:17" x14ac:dyDescent="0.25">
      <c r="A10" t="s">
        <v>12</v>
      </c>
      <c r="B10" t="s">
        <v>8</v>
      </c>
      <c r="C10" t="s">
        <v>9</v>
      </c>
      <c r="D10" t="s">
        <v>10</v>
      </c>
      <c r="E10" t="s">
        <v>11</v>
      </c>
      <c r="F10">
        <v>2047</v>
      </c>
      <c r="G10">
        <v>15.313302</v>
      </c>
      <c r="J10">
        <f t="shared" si="1"/>
        <v>0.96984245999999996</v>
      </c>
      <c r="K10">
        <f t="shared" si="0"/>
        <v>0.96984245999999996</v>
      </c>
      <c r="L10">
        <f t="shared" si="0"/>
        <v>0.96984245999999996</v>
      </c>
      <c r="N10" s="1" t="s">
        <v>17</v>
      </c>
      <c r="P10">
        <v>7.1360003000000005E-3</v>
      </c>
    </row>
    <row r="11" spans="1:17" x14ac:dyDescent="0.25">
      <c r="A11" t="s">
        <v>12</v>
      </c>
      <c r="B11" t="s">
        <v>8</v>
      </c>
      <c r="C11" t="s">
        <v>9</v>
      </c>
      <c r="D11" t="s">
        <v>10</v>
      </c>
      <c r="E11" t="s">
        <v>11</v>
      </c>
      <c r="F11">
        <v>2050</v>
      </c>
      <c r="G11">
        <v>15</v>
      </c>
      <c r="J11">
        <f t="shared" si="1"/>
        <v>0.95</v>
      </c>
      <c r="K11">
        <f t="shared" si="0"/>
        <v>0.95</v>
      </c>
      <c r="L11">
        <f t="shared" si="0"/>
        <v>0.95</v>
      </c>
      <c r="N11" s="1" t="s">
        <v>18</v>
      </c>
      <c r="P11">
        <v>1.8048000300000002E-2</v>
      </c>
    </row>
    <row r="12" spans="1:17" x14ac:dyDescent="0.25">
      <c r="N12" s="1" t="s">
        <v>19</v>
      </c>
      <c r="P12">
        <v>1.8048000300000002E-2</v>
      </c>
    </row>
    <row r="13" spans="1:17" x14ac:dyDescent="0.25">
      <c r="N13" s="1" t="s">
        <v>20</v>
      </c>
      <c r="P13">
        <v>1.9363999600000001E-2</v>
      </c>
    </row>
    <row r="14" spans="1:17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>
        <v>2026</v>
      </c>
      <c r="G14">
        <v>213.81818200000001</v>
      </c>
      <c r="N14" s="1" t="s">
        <v>21</v>
      </c>
      <c r="P14">
        <v>1.9363999600000001E-2</v>
      </c>
    </row>
    <row r="15" spans="1:17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>
        <v>2029</v>
      </c>
      <c r="G15">
        <v>233</v>
      </c>
      <c r="N15" s="1" t="s">
        <v>22</v>
      </c>
      <c r="P15">
        <v>3.81684999E-2</v>
      </c>
    </row>
    <row r="16" spans="1:17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>
        <v>2032</v>
      </c>
      <c r="G16">
        <v>262.72727300000003</v>
      </c>
      <c r="N16" s="1" t="s">
        <v>23</v>
      </c>
      <c r="P16">
        <v>3.81684999E-2</v>
      </c>
    </row>
    <row r="17" spans="1:16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>
        <v>2035</v>
      </c>
      <c r="G17">
        <v>245.545455</v>
      </c>
      <c r="N17" s="1" t="s">
        <v>24</v>
      </c>
      <c r="P17">
        <v>2.0715002000000001E-3</v>
      </c>
    </row>
    <row r="18" spans="1:16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>
        <v>2038</v>
      </c>
      <c r="G18">
        <v>245.63636399999999</v>
      </c>
      <c r="N18" s="1" t="s">
        <v>25</v>
      </c>
      <c r="P18">
        <v>2.0715002000000001E-3</v>
      </c>
    </row>
    <row r="19" spans="1:16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>
        <v>2041</v>
      </c>
      <c r="G19">
        <v>248.90909099999999</v>
      </c>
      <c r="N19" s="1" t="s">
        <v>26</v>
      </c>
      <c r="P19">
        <v>7.0435002000000012E-3</v>
      </c>
    </row>
    <row r="20" spans="1:16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>
        <v>2044</v>
      </c>
      <c r="G20">
        <v>255.18181799999999</v>
      </c>
    </row>
    <row r="21" spans="1:16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>
        <v>2047</v>
      </c>
      <c r="G21">
        <v>270.36363599999999</v>
      </c>
    </row>
    <row r="22" spans="1:16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>
        <v>2050</v>
      </c>
      <c r="G22">
        <v>293.545455</v>
      </c>
    </row>
  </sheetData>
  <pageMargins left="0.7" right="0.7" top="0.75" bottom="0.75" header="0.3" footer="0.3"/>
  <pageSetup orientation="portrait" horizontalDpi="0" verticalDpi="0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Ovaitt, Silvana</dc:creator>
  <cp:lastModifiedBy>Ovaitt, Silvana</cp:lastModifiedBy>
  <dcterms:created xsi:type="dcterms:W3CDTF">2026-04-03T01:52:25Z</dcterms:created>
  <dcterms:modified xsi:type="dcterms:W3CDTF">2026-04-03T03:28:18Z</dcterms:modified>
</cp:coreProperties>
</file>