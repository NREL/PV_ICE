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V_ICE\Studies\IEA_PVPS_Repowering\"/>
    </mc:Choice>
  </mc:AlternateContent>
  <xr:revisionPtr revIDLastSave="0" documentId="13_ncr:1_{4517446E-161C-4E10-8FD9-9EC39220F791}" xr6:coauthVersionLast="47" xr6:coauthVersionMax="47" xr10:uidLastSave="{00000000-0000-0000-0000-000000000000}"/>
  <bookViews>
    <workbookView xWindow="-96" yWindow="-96" windowWidth="23232" windowHeight="12432" xr2:uid="{230404C6-5C96-44C3-A093-20699C5573B4}"/>
  </bookViews>
  <sheets>
    <sheet name="Sheet1" sheetId="1" r:id="rId1"/>
  </sheets>
  <definedNames>
    <definedName name="_xlchart.v1.0" hidden="1">Sheet1!$AZ$15:$AZ$19</definedName>
    <definedName name="_xlchart.v1.1" hidden="1">Sheet1!$BD$14</definedName>
    <definedName name="_xlchart.v1.2" hidden="1">Sheet1!$BD$15:$BD$19</definedName>
    <definedName name="_xlchart.v1.3" hidden="1">Sheet1!$BE$14</definedName>
    <definedName name="_xlchart.v1.4" hidden="1">Sheet1!$BE$15:$BE$19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8" i="1" l="1"/>
  <c r="BE19" i="1"/>
  <c r="BD19" i="1"/>
  <c r="BE18" i="1"/>
  <c r="BE17" i="1"/>
  <c r="BD17" i="1"/>
  <c r="BE16" i="1"/>
  <c r="BD16" i="1"/>
  <c r="BE15" i="1"/>
  <c r="BD15" i="1"/>
  <c r="BC15" i="1"/>
  <c r="BC16" i="1"/>
  <c r="BC17" i="1"/>
  <c r="BC18" i="1"/>
  <c r="BC19" i="1"/>
  <c r="BE7" i="1"/>
  <c r="BE8" i="1"/>
  <c r="BE9" i="1"/>
  <c r="BE10" i="1"/>
  <c r="BE6" i="1"/>
  <c r="BD10" i="1"/>
  <c r="BD9" i="1"/>
  <c r="BD8" i="1"/>
  <c r="BD7" i="1"/>
  <c r="BD6" i="1"/>
  <c r="BB10" i="1"/>
  <c r="BB9" i="1"/>
  <c r="BB8" i="1"/>
  <c r="BB7" i="1"/>
  <c r="BB6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V10" i="1"/>
  <c r="V4" i="1"/>
  <c r="V5" i="1"/>
  <c r="V6" i="1"/>
  <c r="V7" i="1"/>
  <c r="V8" i="1"/>
  <c r="V9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3" i="1"/>
</calcChain>
</file>

<file path=xl/sharedStrings.xml><?xml version="1.0" encoding="utf-8"?>
<sst xmlns="http://schemas.openxmlformats.org/spreadsheetml/2006/main" count="22" uniqueCount="17">
  <si>
    <t>WasteEOL_Module_Sim1_base_[Tonnes]</t>
  </si>
  <si>
    <t>year</t>
  </si>
  <si>
    <t>WasteEOL_Module_Sim1_deg</t>
  </si>
  <si>
    <t>SUM</t>
  </si>
  <si>
    <t>newInstalledCapacity [MW]</t>
  </si>
  <si>
    <t>Base</t>
  </si>
  <si>
    <t>GW</t>
  </si>
  <si>
    <t>MW</t>
  </si>
  <si>
    <t>Fraction</t>
  </si>
  <si>
    <t>Metric Tonnes</t>
  </si>
  <si>
    <t>Baseline Waste</t>
  </si>
  <si>
    <t>Degraded Waste</t>
  </si>
  <si>
    <t>Million Metric Tonnes</t>
  </si>
  <si>
    <t>New Installs</t>
  </si>
  <si>
    <t>New Installs Deg &gt; 2.0</t>
  </si>
  <si>
    <t>Total New Installs</t>
  </si>
  <si>
    <t>Total Installs Deg &gt;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</si>
</sst>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/>
    <xf numFmtId="2" fontId="3" fillId="0" borderId="0" xfId="0" quotePrefix="1" applyNumberFormat="1" applyFont="1"/>
    <xf numFmtId="2" fontId="3" fillId="2" borderId="0" xfId="0" applyNumberFormat="1" applyFont="1" applyFill="1"/>
    <xf numFmtId="2" fontId="3" fillId="2" borderId="0" xfId="0" quotePrefix="1" applyNumberFormat="1" applyFont="1" applyFill="1"/>
    <xf numFmtId="0" fontId="0" fillId="3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5" borderId="0" xfId="0" applyFont="1" applyFill="1"/>
    <xf numFmtId="0" fontId="3" fillId="5" borderId="0" xfId="0" quotePrefix="1" applyFont="1" applyFill="1"/>
    <xf numFmtId="0" fontId="1" fillId="3" borderId="0" xfId="0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5722900802891"/>
          <c:y val="4.2175589084679506E-2"/>
          <c:w val="0.85251105027634577"/>
          <c:h val="0.76535627530182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Sheet1!$BD$14</c:f>
              <c:strCache>
                <c:ptCount val="1"/>
                <c:pt idx="0">
                  <c:v>Baseline Waste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Sheet1!$AZ$15:$AZ$19</c:f>
              <c:numCache>
                <c:formatCode>General</c:formatCode>
                <c:ptCount val="5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cat>
          <c:val>
            <c:numRef>
              <c:f>Sheet1!$BD$15:$BD$19</c:f>
              <c:numCache>
                <c:formatCode>0.0</c:formatCode>
                <c:ptCount val="5"/>
                <c:pt idx="0">
                  <c:v>7.7440727866581904E-2</c:v>
                </c:pt>
                <c:pt idx="1">
                  <c:v>0.39275895027053198</c:v>
                </c:pt>
                <c:pt idx="2">
                  <c:v>1.7359359563188901</c:v>
                </c:pt>
                <c:pt idx="3">
                  <c:v>6.7179294850723901</c:v>
                </c:pt>
                <c:pt idx="4">
                  <c:v>11.419838274794099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9-4AC1-8C3A-FF718BA2DE70}"/>
            </c:ext>
          </c:extLst>
        </c:ser>
        <c:ser>
          <c:idx val="1"/>
          <c:order val="1"/>
          <c:tx>
            <c:strRef>
              <c:f>Sheet1!$BE$14</c:f>
              <c:strCache>
                <c:ptCount val="1"/>
                <c:pt idx="0">
                  <c:v>Degraded Waste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Sheet1!$AZ$15:$AZ$19</c:f>
              <c:numCache>
                <c:formatCode>General</c:formatCode>
                <c:ptCount val="5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cat>
          <c:val>
            <c:numRef>
              <c:f>Sheet1!$BE$15:$BE$19</c:f>
              <c:numCache>
                <c:formatCode>0.0</c:formatCode>
                <c:ptCount val="5"/>
                <c:pt idx="0">
                  <c:v>7.742523972100851E-2</c:v>
                </c:pt>
                <c:pt idx="1">
                  <c:v>0.76244914693394084</c:v>
                </c:pt>
                <c:pt idx="2">
                  <c:v>4.8342172952890365</c:v>
                </c:pt>
                <c:pt idx="3">
                  <c:v>18.196944460661864</c:v>
                </c:pt>
                <c:pt idx="4">
                  <c:v>38.720073639245001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9-4AC1-8C3A-FF718BA2D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8318216"/>
        <c:axId val="1128320736"/>
      </c:barChart>
      <c:catAx>
        <c:axId val="112831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20736"/>
        <c:crosses val="autoZero"/>
        <c:auto val="1"/>
        <c:lblAlgn val="ctr"/>
        <c:lblOffset val="100"/>
        <c:noMultiLvlLbl val="0"/>
      </c:catAx>
      <c:valAx>
        <c:axId val="11283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EoL in</a:t>
                </a:r>
                <a:r>
                  <a:rPr lang="en-US" sz="1800" baseline="0"/>
                  <a:t> </a:t>
                </a:r>
                <a:r>
                  <a:rPr lang="en-US" sz="1800"/>
                  <a:t>Million Metric</a:t>
                </a:r>
                <a:r>
                  <a:rPr lang="en-US" sz="1800" baseline="0"/>
                  <a:t> Tones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3879482177907"/>
          <c:y val="0.32216346354940867"/>
          <c:w val="0.25703988659822086"/>
          <c:h val="0.172328548034615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01226420746187"/>
          <c:y val="4.2175589084679506E-2"/>
          <c:w val="0.79125601507691279"/>
          <c:h val="0.76535627530182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Sheet1!$BD$5</c:f>
              <c:strCache>
                <c:ptCount val="1"/>
                <c:pt idx="0">
                  <c:v>Total New Installs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Sheet1!$AZ$15:$AZ$19</c:f>
              <c:numCache>
                <c:formatCode>General</c:formatCode>
                <c:ptCount val="5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cat>
          <c:val>
            <c:numRef>
              <c:f>Sheet1!$BD$6:$BD$10</c:f>
              <c:numCache>
                <c:formatCode>0.0</c:formatCode>
                <c:ptCount val="5"/>
                <c:pt idx="0">
                  <c:v>655.22296984799993</c:v>
                </c:pt>
                <c:pt idx="1">
                  <c:v>1311.7759698479999</c:v>
                </c:pt>
                <c:pt idx="2">
                  <c:v>2317.338969848</c:v>
                </c:pt>
                <c:pt idx="3">
                  <c:v>3857.436969848</c:v>
                </c:pt>
                <c:pt idx="4">
                  <c:v>6216.2189698479906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7-459C-ADF1-9FDDCF62425E}"/>
            </c:ext>
          </c:extLst>
        </c:ser>
        <c:ser>
          <c:idx val="1"/>
          <c:order val="1"/>
          <c:tx>
            <c:strRef>
              <c:f>Sheet1!$BB$5</c:f>
              <c:strCache>
                <c:ptCount val="1"/>
                <c:pt idx="0">
                  <c:v>Total Installs Deg &gt; 2.0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Sheet1!$AZ$15:$AZ$19</c:f>
              <c:numCache>
                <c:formatCode>General</c:formatCode>
                <c:ptCount val="5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cat>
          <c:val>
            <c:numRef>
              <c:f>Sheet1!$BB$6:$BB$10</c:f>
              <c:numCache>
                <c:formatCode>0.0</c:formatCode>
                <c:ptCount val="5"/>
                <c:pt idx="0">
                  <c:v>77.840488817942287</c:v>
                </c:pt>
                <c:pt idx="1">
                  <c:v>155.83898521794228</c:v>
                </c:pt>
                <c:pt idx="2">
                  <c:v>275.29986961794219</c:v>
                </c:pt>
                <c:pt idx="3">
                  <c:v>458.26351201794228</c:v>
                </c:pt>
                <c:pt idx="4">
                  <c:v>738.48681361794195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7-459C-ADF1-9FDDCF6242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8318216"/>
        <c:axId val="1128320736"/>
      </c:barChart>
      <c:catAx>
        <c:axId val="112831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20736"/>
        <c:crosses val="autoZero"/>
        <c:auto val="1"/>
        <c:lblAlgn val="ctr"/>
        <c:lblOffset val="100"/>
        <c:noMultiLvlLbl val="0"/>
      </c:catAx>
      <c:valAx>
        <c:axId val="11283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Cumulative New</a:t>
                </a:r>
                <a:r>
                  <a:rPr lang="en-US" sz="1800" baseline="0"/>
                  <a:t> Installs [GW]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2.7017076072255973E-2"/>
              <c:y val="0.17444871766617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723045659246125"/>
          <c:y val="0.11367711804451457"/>
          <c:w val="0.35931609423253097"/>
          <c:h val="0.3236953468258397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244928</xdr:colOff>
      <xdr:row>10</xdr:row>
      <xdr:rowOff>57150</xdr:rowOff>
    </xdr:from>
    <xdr:to>
      <xdr:col>46</xdr:col>
      <xdr:colOff>408214</xdr:colOff>
      <xdr:row>33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31CEB-A572-9117-1A71-5DDF91810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299357</xdr:colOff>
      <xdr:row>21</xdr:row>
      <xdr:rowOff>0</xdr:rowOff>
    </xdr:from>
    <xdr:to>
      <xdr:col>59</xdr:col>
      <xdr:colOff>285750</xdr:colOff>
      <xdr:row>44</xdr:row>
      <xdr:rowOff>65314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84D3A5-DF26-4A51-860E-71D995C49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5B26-0F7F-419F-B254-C8B0FDE04685}">
  <dimension ref="A1:BE58"/>
  <sheetViews>
    <sheetView tabSelected="1" zoomScale="70" zoomScaleNormal="70" workbookViewId="0">
      <pane xSplit="1" topLeftCell="T1" activePane="topRight" state="frozen"/>
      <selection pane="topRight" activeCell="AF21" sqref="AF21"/>
    </sheetView>
  </sheetViews>
  <sheetFormatPr defaultRowHeight="15" x14ac:dyDescent="0.25"/>
  <cols>
    <col min="2" max="2" width="12.5703125" bestFit="1" customWidth="1"/>
    <col min="3" max="3" width="10" bestFit="1" customWidth="1"/>
    <col min="4" max="5" width="11" bestFit="1" customWidth="1"/>
    <col min="6" max="7" width="10.5703125" bestFit="1" customWidth="1"/>
    <col min="8" max="12" width="11" bestFit="1" customWidth="1"/>
    <col min="13" max="14" width="11.5703125" bestFit="1" customWidth="1"/>
    <col min="15" max="16" width="11.42578125" bestFit="1" customWidth="1"/>
    <col min="17" max="21" width="11" bestFit="1" customWidth="1"/>
    <col min="22" max="22" width="20.42578125" customWidth="1"/>
    <col min="24" max="43" width="11.42578125" style="4" customWidth="1"/>
    <col min="44" max="44" width="28.7109375" customWidth="1"/>
    <col min="53" max="54" width="19.28515625" customWidth="1"/>
    <col min="56" max="56" width="13.42578125" customWidth="1"/>
    <col min="57" max="57" width="15.85546875" customWidth="1"/>
  </cols>
  <sheetData>
    <row r="1" spans="1:57" x14ac:dyDescent="0.25"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X1" s="3" t="s">
        <v>4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57" x14ac:dyDescent="0.25">
      <c r="A2" t="s">
        <v>1</v>
      </c>
      <c r="B2" s="12" t="s">
        <v>0</v>
      </c>
      <c r="C2" s="13">
        <v>5.2</v>
      </c>
      <c r="D2" s="13">
        <v>4.2</v>
      </c>
      <c r="E2" s="13">
        <v>3.4</v>
      </c>
      <c r="F2" s="13">
        <v>3.2</v>
      </c>
      <c r="G2" s="13">
        <v>3</v>
      </c>
      <c r="H2" s="13">
        <v>2.8</v>
      </c>
      <c r="I2" s="13">
        <v>2.6</v>
      </c>
      <c r="J2" s="13">
        <v>2.4</v>
      </c>
      <c r="K2" s="13">
        <v>2.2000000000000002</v>
      </c>
      <c r="L2" s="13">
        <v>2</v>
      </c>
      <c r="M2" s="13">
        <v>1.8</v>
      </c>
      <c r="N2" s="13">
        <v>1.6</v>
      </c>
      <c r="O2" s="13">
        <v>1.4</v>
      </c>
      <c r="P2" s="13">
        <v>1.2</v>
      </c>
      <c r="Q2" s="13">
        <v>1</v>
      </c>
      <c r="R2" s="13">
        <v>0.8</v>
      </c>
      <c r="S2" s="13">
        <v>0.6</v>
      </c>
      <c r="T2" s="13">
        <v>0.4</v>
      </c>
      <c r="U2" s="13">
        <v>0.2</v>
      </c>
      <c r="V2" s="13" t="s">
        <v>3</v>
      </c>
      <c r="X2" s="10" t="s">
        <v>5</v>
      </c>
      <c r="Y2" s="16">
        <v>5.2</v>
      </c>
      <c r="Z2" s="16">
        <v>4.2</v>
      </c>
      <c r="AA2" s="16">
        <v>3.4</v>
      </c>
      <c r="AB2" s="16">
        <v>3.2</v>
      </c>
      <c r="AC2" s="16">
        <v>3</v>
      </c>
      <c r="AD2" s="16">
        <v>2.8</v>
      </c>
      <c r="AE2" s="16">
        <v>2.6</v>
      </c>
      <c r="AF2" s="16">
        <v>2.4</v>
      </c>
      <c r="AG2" s="16">
        <v>2.2000000000000002</v>
      </c>
      <c r="AH2" s="16">
        <v>2</v>
      </c>
      <c r="AI2" s="16">
        <v>1.8</v>
      </c>
      <c r="AJ2" s="9">
        <v>1.6</v>
      </c>
      <c r="AK2" s="9">
        <v>1.4</v>
      </c>
      <c r="AL2" s="9">
        <v>1.2</v>
      </c>
      <c r="AM2" s="9">
        <v>1</v>
      </c>
      <c r="AN2" s="9">
        <v>0.8</v>
      </c>
      <c r="AO2" s="9">
        <v>0.6</v>
      </c>
      <c r="AP2" s="9">
        <v>0.4</v>
      </c>
      <c r="AQ2" s="9">
        <v>0.2</v>
      </c>
      <c r="AR2" s="13" t="s">
        <v>3</v>
      </c>
    </row>
    <row r="3" spans="1:57" x14ac:dyDescent="0.25">
      <c r="A3">
        <v>1995</v>
      </c>
      <c r="B3" s="1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>
        <f>SUM(C3:U3)</f>
        <v>0</v>
      </c>
      <c r="X3" s="7">
        <v>67.599000000000004</v>
      </c>
      <c r="Y3" s="5">
        <v>0.1216782</v>
      </c>
      <c r="Z3" s="5">
        <v>0.39883410000000002</v>
      </c>
      <c r="AA3" s="5">
        <v>0.70302960000000003</v>
      </c>
      <c r="AB3" s="5">
        <v>0.30419550000000001</v>
      </c>
      <c r="AC3" s="5">
        <v>0.3853143</v>
      </c>
      <c r="AD3" s="5">
        <v>0.49347269999999999</v>
      </c>
      <c r="AE3" s="6">
        <v>0.75710880000000003</v>
      </c>
      <c r="AF3" s="5">
        <v>0.91934640000000001</v>
      </c>
      <c r="AG3" s="6">
        <v>1.58181659999999</v>
      </c>
      <c r="AH3" s="6">
        <v>2.3659650000000001</v>
      </c>
      <c r="AI3" s="5">
        <v>3.1771530000000001</v>
      </c>
      <c r="AJ3" s="5">
        <v>3.6300663000000002</v>
      </c>
      <c r="AK3" s="6">
        <v>4.6643309999999998</v>
      </c>
      <c r="AL3" s="5">
        <v>5.7526748999999997</v>
      </c>
      <c r="AM3" s="6">
        <v>6.9086178</v>
      </c>
      <c r="AN3" s="5">
        <v>7.8550038000000004</v>
      </c>
      <c r="AO3" s="6">
        <v>8.3146769999999997</v>
      </c>
      <c r="AP3" s="6">
        <v>6.8004594000000003</v>
      </c>
      <c r="AQ3" s="6">
        <v>12.4517358</v>
      </c>
      <c r="AR3" s="2">
        <f t="shared" ref="AR3:AR58" si="0">SUM(Y3:AH3)</f>
        <v>8.0307611999999899</v>
      </c>
    </row>
    <row r="4" spans="1:57" x14ac:dyDescent="0.25">
      <c r="A4">
        <v>1996</v>
      </c>
      <c r="B4" s="14">
        <v>2.28515344907681E-2</v>
      </c>
      <c r="C4" s="6">
        <v>4.1132762083382597E-5</v>
      </c>
      <c r="D4" s="5">
        <v>1.34824053495532E-4</v>
      </c>
      <c r="E4" s="5">
        <v>2.37655958703988E-4</v>
      </c>
      <c r="F4" s="5">
        <v>1.02831905208456E-4</v>
      </c>
      <c r="G4" s="5">
        <v>1.3025374659737801E-4</v>
      </c>
      <c r="H4" s="5">
        <v>1.66816201782607E-4</v>
      </c>
      <c r="I4" s="5">
        <v>2.5593718629660301E-4</v>
      </c>
      <c r="J4" s="5">
        <v>3.1078086907444699E-4</v>
      </c>
      <c r="K4" s="5">
        <v>5.3472590708397401E-4</v>
      </c>
      <c r="L4" s="5">
        <v>7.9980370717688495E-4</v>
      </c>
      <c r="M4" s="5">
        <v>1.0740221210661001E-3</v>
      </c>
      <c r="N4" s="5">
        <v>1.22712740215425E-3</v>
      </c>
      <c r="O4" s="5">
        <v>1.5767558798629999E-3</v>
      </c>
      <c r="P4" s="5">
        <v>1.94466558516437E-3</v>
      </c>
      <c r="Q4" s="5">
        <v>2.3354268249565001E-3</v>
      </c>
      <c r="R4" s="5">
        <v>2.6553483078272499E-3</v>
      </c>
      <c r="S4" s="5">
        <v>2.8107387423644799E-3</v>
      </c>
      <c r="T4" s="5">
        <v>2.2988643697712699E-3</v>
      </c>
      <c r="U4" s="5">
        <v>4.2092526531994903E-3</v>
      </c>
      <c r="V4" s="2">
        <f t="shared" ref="V4:V58" si="1">SUM(C4:U4)</f>
        <v>2.2846964183869965E-2</v>
      </c>
      <c r="X4" s="8">
        <v>143.79499999999999</v>
      </c>
      <c r="Y4" s="5">
        <v>0.25883099999999998</v>
      </c>
      <c r="Z4" s="6">
        <v>0.84839049999999905</v>
      </c>
      <c r="AA4" s="5">
        <v>1.495468</v>
      </c>
      <c r="AB4" s="5">
        <v>0.64707749999999997</v>
      </c>
      <c r="AC4" s="6">
        <v>0.81963149999999896</v>
      </c>
      <c r="AD4" s="6">
        <v>1.0497034999999999</v>
      </c>
      <c r="AE4" s="6">
        <v>1.6105039999999999</v>
      </c>
      <c r="AF4" s="5">
        <v>1.9556119999999999</v>
      </c>
      <c r="AG4" s="6">
        <v>3.36480299999999</v>
      </c>
      <c r="AH4" s="6">
        <v>5.0328249999999999</v>
      </c>
      <c r="AI4" s="6">
        <v>6.7583649999999897</v>
      </c>
      <c r="AJ4" s="5">
        <v>7.7217915000000001</v>
      </c>
      <c r="AK4" s="5">
        <v>9.9218550000000008</v>
      </c>
      <c r="AL4" s="5">
        <v>12.2369545</v>
      </c>
      <c r="AM4" s="6">
        <v>14.695849000000001</v>
      </c>
      <c r="AN4" s="5">
        <v>16.708978999999999</v>
      </c>
      <c r="AO4" s="5">
        <v>17.686785</v>
      </c>
      <c r="AP4" s="6">
        <v>14.465776999999999</v>
      </c>
      <c r="AQ4" s="6">
        <v>26.487038999999999</v>
      </c>
      <c r="AR4" s="2">
        <f t="shared" si="0"/>
        <v>17.082845999999986</v>
      </c>
      <c r="BA4" t="s">
        <v>7</v>
      </c>
      <c r="BB4" t="s">
        <v>6</v>
      </c>
      <c r="BC4" t="s">
        <v>7</v>
      </c>
      <c r="BD4" t="s">
        <v>6</v>
      </c>
      <c r="BE4" t="s">
        <v>8</v>
      </c>
    </row>
    <row r="5" spans="1:57" x14ac:dyDescent="0.25">
      <c r="A5">
        <v>1997</v>
      </c>
      <c r="B5" s="15">
        <v>0.51258560621006</v>
      </c>
      <c r="C5" s="5">
        <v>9.2265409117810897E-4</v>
      </c>
      <c r="D5" s="5">
        <v>3.0242550766393498E-3</v>
      </c>
      <c r="E5" s="5">
        <v>5.3308903045846297E-3</v>
      </c>
      <c r="F5" s="5">
        <v>2.3066352279452699E-3</v>
      </c>
      <c r="G5" s="5">
        <v>2.92173795539734E-3</v>
      </c>
      <c r="H5" s="5">
        <v>3.7418749253334401E-3</v>
      </c>
      <c r="I5" s="5">
        <v>5.7409587895526802E-3</v>
      </c>
      <c r="J5" s="5">
        <v>6.9711642444568204E-3</v>
      </c>
      <c r="K5" s="6">
        <v>1.19945031853154E-2</v>
      </c>
      <c r="L5" s="6">
        <v>1.7940496217352098E-2</v>
      </c>
      <c r="M5" s="5">
        <v>2.40915234918728E-2</v>
      </c>
      <c r="N5" s="6">
        <v>2.7525847053480199E-2</v>
      </c>
      <c r="O5" s="5">
        <v>3.5368406828494202E-2</v>
      </c>
      <c r="P5" s="5">
        <v>4.3621035088476097E-2</v>
      </c>
      <c r="Q5" s="5">
        <v>5.2386248954668202E-2</v>
      </c>
      <c r="R5" s="5">
        <v>5.9562447441608997E-2</v>
      </c>
      <c r="S5" s="5">
        <v>6.3048029563837399E-2</v>
      </c>
      <c r="T5" s="5">
        <v>5.1566111984732099E-2</v>
      </c>
      <c r="U5" s="5">
        <v>9.4418268663893204E-2</v>
      </c>
      <c r="V5" s="2">
        <f t="shared" si="1"/>
        <v>0.51248308908881834</v>
      </c>
      <c r="X5" s="8">
        <v>254.499</v>
      </c>
      <c r="Y5" s="6">
        <v>0.45809819999999901</v>
      </c>
      <c r="Z5" s="6">
        <v>1.5015440999999901</v>
      </c>
      <c r="AA5" s="5">
        <v>2.6467896</v>
      </c>
      <c r="AB5" s="5">
        <v>1.1452454999999999</v>
      </c>
      <c r="AC5" s="6">
        <v>1.45064429999999</v>
      </c>
      <c r="AD5" s="5">
        <v>1.8578427</v>
      </c>
      <c r="AE5" s="5">
        <v>2.8503888000000002</v>
      </c>
      <c r="AF5" s="5">
        <v>3.4611863999999999</v>
      </c>
      <c r="AG5" s="6">
        <v>5.9552765999999897</v>
      </c>
      <c r="AH5" s="5">
        <v>8.9074650000000002</v>
      </c>
      <c r="AI5" s="6">
        <v>11.961452999999899</v>
      </c>
      <c r="AJ5" s="6">
        <v>13.666596299999901</v>
      </c>
      <c r="AK5" s="5">
        <v>17.560431000000001</v>
      </c>
      <c r="AL5" s="5">
        <v>21.6578649</v>
      </c>
      <c r="AM5" s="5">
        <v>26.009797800000001</v>
      </c>
      <c r="AN5" s="5">
        <v>29.5727838</v>
      </c>
      <c r="AO5" s="5">
        <v>31.303377000000001</v>
      </c>
      <c r="AP5" s="6">
        <v>25.602599399999999</v>
      </c>
      <c r="AQ5" s="6">
        <v>46.878715800000002</v>
      </c>
      <c r="AR5" s="2">
        <f t="shared" si="0"/>
        <v>30.234481199999969</v>
      </c>
      <c r="BA5" t="s">
        <v>14</v>
      </c>
      <c r="BB5" t="s">
        <v>16</v>
      </c>
      <c r="BC5" t="s">
        <v>13</v>
      </c>
      <c r="BD5" t="s">
        <v>15</v>
      </c>
    </row>
    <row r="6" spans="1:57" x14ac:dyDescent="0.25">
      <c r="A6">
        <v>1998</v>
      </c>
      <c r="B6" s="15">
        <v>3.45585871351981</v>
      </c>
      <c r="C6" s="5">
        <v>6.2205456843356603E-3</v>
      </c>
      <c r="D6" s="5">
        <v>2.0389566409766802E-2</v>
      </c>
      <c r="E6" s="5">
        <v>3.5940930620606E-2</v>
      </c>
      <c r="F6" s="6">
        <v>1.5551364210839099E-2</v>
      </c>
      <c r="G6" s="6">
        <v>1.9698394667062899E-2</v>
      </c>
      <c r="H6" s="6">
        <v>2.5227768608694599E-2</v>
      </c>
      <c r="I6" s="6">
        <v>3.8705617591421798E-2</v>
      </c>
      <c r="J6" s="5">
        <v>4.6999678503869401E-2</v>
      </c>
      <c r="K6" s="5">
        <v>8.0867093896363595E-2</v>
      </c>
      <c r="L6" s="6">
        <v>0.120955054973193</v>
      </c>
      <c r="M6" s="6">
        <v>0.162425359535431</v>
      </c>
      <c r="N6" s="6">
        <v>0.18557961291601299</v>
      </c>
      <c r="O6" s="6">
        <v>0.23845425123286701</v>
      </c>
      <c r="P6" s="5">
        <v>0.29409357652053603</v>
      </c>
      <c r="Q6" s="6">
        <v>0.35318876052172399</v>
      </c>
      <c r="R6" s="6">
        <v>0.40157078251100198</v>
      </c>
      <c r="S6" s="5">
        <v>0.42507062176293697</v>
      </c>
      <c r="T6" s="6">
        <v>0.34765938658009299</v>
      </c>
      <c r="U6" s="6">
        <v>0.63656917503034904</v>
      </c>
      <c r="V6" s="2">
        <f t="shared" si="1"/>
        <v>3.4551675417771048</v>
      </c>
      <c r="X6" s="7">
        <v>387.995</v>
      </c>
      <c r="Y6" s="6">
        <v>0.69839099999999898</v>
      </c>
      <c r="Z6" s="5">
        <v>2.2891705</v>
      </c>
      <c r="AA6" s="6">
        <v>4.0351479999999897</v>
      </c>
      <c r="AB6" s="5">
        <v>1.7459775</v>
      </c>
      <c r="AC6" s="5">
        <v>2.2115714999999998</v>
      </c>
      <c r="AD6" s="5">
        <v>2.8323635</v>
      </c>
      <c r="AE6" s="5">
        <v>4.3455440000000003</v>
      </c>
      <c r="AF6" s="5">
        <v>5.276732</v>
      </c>
      <c r="AG6" s="6">
        <v>9.07908299999999</v>
      </c>
      <c r="AH6" s="6">
        <v>13.579825</v>
      </c>
      <c r="AI6" s="5">
        <v>18.235765000000001</v>
      </c>
      <c r="AJ6" s="5">
        <v>20.835331499999999</v>
      </c>
      <c r="AK6" s="6">
        <v>26.771654999999999</v>
      </c>
      <c r="AL6" s="5">
        <v>33.0183745</v>
      </c>
      <c r="AM6" s="5">
        <v>39.653089000000001</v>
      </c>
      <c r="AN6" s="5">
        <v>45.085019000000003</v>
      </c>
      <c r="AO6" s="6">
        <v>47.723385</v>
      </c>
      <c r="AP6" s="6">
        <v>39.032297</v>
      </c>
      <c r="AQ6" s="6">
        <v>71.468678999999995</v>
      </c>
      <c r="AR6" s="2">
        <f t="shared" si="0"/>
        <v>46.093805999999972</v>
      </c>
      <c r="AZ6">
        <v>2020</v>
      </c>
      <c r="BA6" s="2">
        <v>77840.488817942285</v>
      </c>
      <c r="BB6" s="17">
        <f>BA6/1000</f>
        <v>77.840488817942287</v>
      </c>
      <c r="BC6">
        <v>655222.96984799998</v>
      </c>
      <c r="BD6" s="17">
        <f>BC6/1000</f>
        <v>655.22296984799993</v>
      </c>
      <c r="BE6">
        <f>BB6*100/BD6</f>
        <v>11.879999999999985</v>
      </c>
    </row>
    <row r="7" spans="1:57" x14ac:dyDescent="0.25">
      <c r="A7">
        <v>1999</v>
      </c>
      <c r="B7" s="15">
        <v>13.604218583588599</v>
      </c>
      <c r="C7" s="5">
        <v>2.4487593450459502E-2</v>
      </c>
      <c r="D7" s="5">
        <v>8.0264889643172799E-2</v>
      </c>
      <c r="E7" s="6">
        <v>0.14148387326932099</v>
      </c>
      <c r="F7" s="5">
        <v>6.12189836261487E-2</v>
      </c>
      <c r="G7" s="5">
        <v>7.7544045926455099E-2</v>
      </c>
      <c r="H7" s="5">
        <v>9.9310795660196904E-2</v>
      </c>
      <c r="I7" s="6">
        <v>0.15236724813619201</v>
      </c>
      <c r="J7" s="6">
        <v>0.18501737273680499</v>
      </c>
      <c r="K7" s="6">
        <v>0.31833871485597298</v>
      </c>
      <c r="L7" s="6">
        <v>0.47614765042560098</v>
      </c>
      <c r="M7" s="6">
        <v>0.63939827342866495</v>
      </c>
      <c r="N7" s="6">
        <v>0.73054653793870805</v>
      </c>
      <c r="O7" s="5">
        <v>0.938691082267615</v>
      </c>
      <c r="P7" s="6">
        <v>1.15771900146339</v>
      </c>
      <c r="Q7" s="6">
        <v>1.3903511392427499</v>
      </c>
      <c r="R7" s="6">
        <v>1.5808101994129899</v>
      </c>
      <c r="S7" s="6">
        <v>1.6733188857814001</v>
      </c>
      <c r="T7" s="6">
        <v>1.36858438950901</v>
      </c>
      <c r="U7" s="6">
        <v>2.5058970630970201</v>
      </c>
      <c r="V7" s="2">
        <f t="shared" si="1"/>
        <v>13.601497739871874</v>
      </c>
      <c r="X7" s="7">
        <v>567.33000000000004</v>
      </c>
      <c r="Y7" s="5">
        <v>1.0211939999999999</v>
      </c>
      <c r="Z7" s="6">
        <v>3.3472469999999999</v>
      </c>
      <c r="AA7" s="6">
        <v>5.9002319999999902</v>
      </c>
      <c r="AB7" s="5">
        <v>2.5529850000000001</v>
      </c>
      <c r="AC7" s="6">
        <v>3.2337809999999898</v>
      </c>
      <c r="AD7" s="5">
        <v>4.1415090000000001</v>
      </c>
      <c r="AE7" s="5">
        <v>6.3540960000000002</v>
      </c>
      <c r="AF7" s="5">
        <v>7.7156880000000001</v>
      </c>
      <c r="AG7" s="6">
        <v>13.275521999999899</v>
      </c>
      <c r="AH7" s="6">
        <v>19.856549999999999</v>
      </c>
      <c r="AI7" s="5">
        <v>26.66451</v>
      </c>
      <c r="AJ7" s="5">
        <v>30.465620999999999</v>
      </c>
      <c r="AK7" s="6">
        <v>39.145769999999999</v>
      </c>
      <c r="AL7" s="5">
        <v>48.279783000000002</v>
      </c>
      <c r="AM7" s="5">
        <v>57.981126000000003</v>
      </c>
      <c r="AN7" s="5">
        <v>65.923745999999994</v>
      </c>
      <c r="AO7" s="6">
        <v>69.781589999999994</v>
      </c>
      <c r="AP7" s="6">
        <v>57.073397999999997</v>
      </c>
      <c r="AQ7" s="6">
        <v>104.50218599999999</v>
      </c>
      <c r="AR7" s="2">
        <f t="shared" si="0"/>
        <v>67.39880399999987</v>
      </c>
      <c r="AZ7">
        <v>2025</v>
      </c>
      <c r="BA7" s="2">
        <v>155838.98521794227</v>
      </c>
      <c r="BB7" s="17">
        <f>BA7/1000</f>
        <v>155.83898521794228</v>
      </c>
      <c r="BC7">
        <v>1311775.969848</v>
      </c>
      <c r="BD7" s="17">
        <f>BC7/1000</f>
        <v>1311.7759698479999</v>
      </c>
      <c r="BE7">
        <f t="shared" ref="BE7:BE10" si="2">BB7*100/BD7</f>
        <v>11.879999999999992</v>
      </c>
    </row>
    <row r="8" spans="1:57" x14ac:dyDescent="0.25">
      <c r="A8">
        <v>2000</v>
      </c>
      <c r="B8" s="15">
        <v>39.231472503023603</v>
      </c>
      <c r="C8" s="5">
        <v>7.0616650505442496E-2</v>
      </c>
      <c r="D8" s="6">
        <v>0.23146568776783899</v>
      </c>
      <c r="E8" s="6">
        <v>0.40800731403144602</v>
      </c>
      <c r="F8" s="6">
        <v>0.17654162626360601</v>
      </c>
      <c r="G8" s="6">
        <v>0.22361939326723401</v>
      </c>
      <c r="H8" s="6">
        <v>0.286389749272072</v>
      </c>
      <c r="I8" s="6">
        <v>0.43939249203386499</v>
      </c>
      <c r="J8" s="6">
        <v>0.53354802604112095</v>
      </c>
      <c r="K8" s="6">
        <v>0.91801645657075304</v>
      </c>
      <c r="L8" s="6">
        <v>1.37310153760582</v>
      </c>
      <c r="M8" s="6">
        <v>1.84387920764211</v>
      </c>
      <c r="N8" s="5">
        <v>2.1067300734123702</v>
      </c>
      <c r="O8" s="6">
        <v>2.7069716027086299</v>
      </c>
      <c r="P8" s="6">
        <v>3.3385983100073102</v>
      </c>
      <c r="Q8" s="6">
        <v>4.0094564898090104</v>
      </c>
      <c r="R8" s="6">
        <v>4.5586971048513396</v>
      </c>
      <c r="S8" s="6">
        <v>4.8254711178719099</v>
      </c>
      <c r="T8" s="6">
        <v>3.9466861338041799</v>
      </c>
      <c r="U8" s="6">
        <v>7.2264372350569497</v>
      </c>
      <c r="V8" s="2">
        <f t="shared" si="1"/>
        <v>39.223626208523008</v>
      </c>
      <c r="X8" s="7">
        <v>817.44</v>
      </c>
      <c r="Y8" s="6">
        <v>1.47139199999999</v>
      </c>
      <c r="Z8" s="5">
        <v>4.8228960000000001</v>
      </c>
      <c r="AA8" s="6">
        <v>8.5013759999999898</v>
      </c>
      <c r="AB8" s="5">
        <v>3.67848</v>
      </c>
      <c r="AC8" s="6">
        <v>4.6594079999999902</v>
      </c>
      <c r="AD8" s="5">
        <v>5.9673119999999997</v>
      </c>
      <c r="AE8" s="5">
        <v>9.1553280000000008</v>
      </c>
      <c r="AF8" s="5">
        <v>11.117184</v>
      </c>
      <c r="AG8" s="5">
        <v>19.128095999999999</v>
      </c>
      <c r="AH8" s="6">
        <v>28.610399999999998</v>
      </c>
      <c r="AI8" s="5">
        <v>38.41968</v>
      </c>
      <c r="AJ8" s="6">
        <v>43.896527999999897</v>
      </c>
      <c r="AK8" s="6">
        <v>56.403359999999999</v>
      </c>
      <c r="AL8" s="5">
        <v>69.564143999999999</v>
      </c>
      <c r="AM8" s="6">
        <v>83.542367999999996</v>
      </c>
      <c r="AN8" s="6">
        <v>94.986527999999893</v>
      </c>
      <c r="AO8" s="6">
        <v>100.54512</v>
      </c>
      <c r="AP8" s="6">
        <v>82.234464000000003</v>
      </c>
      <c r="AQ8" s="6">
        <v>150.57244800000001</v>
      </c>
      <c r="AR8" s="2">
        <f t="shared" si="0"/>
        <v>97.111871999999977</v>
      </c>
      <c r="AZ8">
        <v>2030</v>
      </c>
      <c r="BA8" s="2">
        <v>275299.8696179422</v>
      </c>
      <c r="BB8" s="17">
        <f>BA8/1000</f>
        <v>275.29986961794219</v>
      </c>
      <c r="BC8">
        <v>2317338.969848</v>
      </c>
      <c r="BD8" s="17">
        <f>BC8/1000</f>
        <v>2317.338969848</v>
      </c>
      <c r="BE8">
        <f t="shared" si="2"/>
        <v>11.879999999999992</v>
      </c>
    </row>
    <row r="9" spans="1:57" x14ac:dyDescent="0.25">
      <c r="A9">
        <v>2001</v>
      </c>
      <c r="B9" s="15">
        <v>92.600540011077399</v>
      </c>
      <c r="C9" s="6">
        <v>0.16668097201993901</v>
      </c>
      <c r="D9" s="6">
        <v>0.54634318606535603</v>
      </c>
      <c r="E9" s="6">
        <v>0.96304561611520501</v>
      </c>
      <c r="F9" s="6">
        <v>0.41670243004984803</v>
      </c>
      <c r="G9" s="6">
        <v>0.52782307806314099</v>
      </c>
      <c r="H9" s="6">
        <v>0.67598394208086499</v>
      </c>
      <c r="I9" s="6">
        <v>1.0371260481240601</v>
      </c>
      <c r="J9" s="6">
        <v>1.2593673441506501</v>
      </c>
      <c r="K9" s="6">
        <v>2.1668526362592102</v>
      </c>
      <c r="L9" s="6">
        <v>3.2410189003877101</v>
      </c>
      <c r="M9" s="6">
        <v>4.3522253805206299</v>
      </c>
      <c r="N9" s="6">
        <v>4.9726489985948499</v>
      </c>
      <c r="O9" s="6">
        <v>6.3894372607643399</v>
      </c>
      <c r="P9" s="6">
        <v>7.8803059549426804</v>
      </c>
      <c r="Q9" s="6">
        <v>9.4637751891321091</v>
      </c>
      <c r="R9" s="6">
        <v>10.7601827492871</v>
      </c>
      <c r="S9" s="6">
        <v>11.3898664213625</v>
      </c>
      <c r="T9" s="5">
        <v>9.3156143251143906</v>
      </c>
      <c r="U9" s="6">
        <v>17.057019470040402</v>
      </c>
      <c r="V9" s="2">
        <f t="shared" si="1"/>
        <v>92.582019903074979</v>
      </c>
      <c r="X9" s="8">
        <v>1076.4514799999999</v>
      </c>
      <c r="Y9" s="6">
        <v>1.93761266399999</v>
      </c>
      <c r="Z9" s="5">
        <v>6.3510637320000001</v>
      </c>
      <c r="AA9" s="6">
        <v>11.195095391999899</v>
      </c>
      <c r="AB9" s="6">
        <v>4.8440316599999997</v>
      </c>
      <c r="AC9" s="6">
        <v>6.1357734359999903</v>
      </c>
      <c r="AD9" s="6">
        <v>7.8580958039999897</v>
      </c>
      <c r="AE9" s="6">
        <v>12.056256575999999</v>
      </c>
      <c r="AF9" s="5">
        <v>14.639740128</v>
      </c>
      <c r="AG9" s="6">
        <v>25.188964631999902</v>
      </c>
      <c r="AH9" s="6">
        <v>37.675801800000002</v>
      </c>
      <c r="AI9" s="5">
        <v>50.593219560000001</v>
      </c>
      <c r="AJ9" s="5">
        <v>57.805444475999998</v>
      </c>
      <c r="AK9" s="5">
        <v>74.275152120000001</v>
      </c>
      <c r="AL9" s="5">
        <v>91.606020947999994</v>
      </c>
      <c r="AM9" s="6">
        <v>110.013341256</v>
      </c>
      <c r="AN9" s="6">
        <v>125.08366197599899</v>
      </c>
      <c r="AO9" s="6">
        <v>132.40353203999999</v>
      </c>
      <c r="AP9" s="6">
        <v>108.291018888</v>
      </c>
      <c r="AQ9" s="6">
        <v>198.282362616</v>
      </c>
      <c r="AR9" s="2">
        <f t="shared" si="0"/>
        <v>127.88243582399978</v>
      </c>
      <c r="AZ9">
        <v>2035</v>
      </c>
      <c r="BA9" s="2">
        <v>458263.51201794227</v>
      </c>
      <c r="BB9" s="17">
        <f>BA9/1000</f>
        <v>458.26351201794228</v>
      </c>
      <c r="BC9">
        <v>3857436.969848</v>
      </c>
      <c r="BD9" s="17">
        <f>BC9/1000</f>
        <v>3857.436969848</v>
      </c>
      <c r="BE9">
        <f t="shared" si="2"/>
        <v>11.879999999999997</v>
      </c>
    </row>
    <row r="10" spans="1:57" x14ac:dyDescent="0.25">
      <c r="A10">
        <v>2002</v>
      </c>
      <c r="B10" s="15">
        <v>190.17666387376801</v>
      </c>
      <c r="C10" s="6">
        <v>0.34231799497278198</v>
      </c>
      <c r="D10" s="6">
        <v>1.12204231685523</v>
      </c>
      <c r="E10" s="6">
        <v>1.97783730428718</v>
      </c>
      <c r="F10" s="6">
        <v>0.85579498743195603</v>
      </c>
      <c r="G10" s="6">
        <v>1.08400698408047</v>
      </c>
      <c r="H10" s="6">
        <v>1.3882896462784999</v>
      </c>
      <c r="I10" s="6">
        <v>2.1299786353862</v>
      </c>
      <c r="J10" s="6">
        <v>2.5864026286832398</v>
      </c>
      <c r="K10" s="6">
        <v>4.4501339346461704</v>
      </c>
      <c r="L10" s="6">
        <v>6.6561832355818797</v>
      </c>
      <c r="M10" s="6">
        <v>8.9383032020670896</v>
      </c>
      <c r="N10" s="6">
        <v>10.2124868500213</v>
      </c>
      <c r="O10" s="6">
        <v>13.122189807289899</v>
      </c>
      <c r="P10" s="6">
        <v>16.184034095657601</v>
      </c>
      <c r="Q10" s="6">
        <v>19.436055047899</v>
      </c>
      <c r="R10" s="6">
        <v>22.0985283421318</v>
      </c>
      <c r="S10" s="6">
        <v>23.391729656473402</v>
      </c>
      <c r="T10" s="6">
        <v>19.131772385701002</v>
      </c>
      <c r="U10" s="6">
        <v>35.030541485548</v>
      </c>
      <c r="V10" s="2">
        <f>SUM(C10:U10)</f>
        <v>190.13862854099273</v>
      </c>
      <c r="X10" s="8">
        <v>1401.2600199999999</v>
      </c>
      <c r="Y10" s="5">
        <v>2.5222680359999998</v>
      </c>
      <c r="Z10" s="5">
        <v>8.2674341180000006</v>
      </c>
      <c r="AA10" s="6">
        <v>14.573104207999901</v>
      </c>
      <c r="AB10" s="6">
        <v>6.3056700899999996</v>
      </c>
      <c r="AC10" s="6">
        <v>7.9871821139999897</v>
      </c>
      <c r="AD10" s="5">
        <v>10.229198146</v>
      </c>
      <c r="AE10" s="6">
        <v>15.694112224</v>
      </c>
      <c r="AF10" s="5">
        <v>19.057136272000001</v>
      </c>
      <c r="AG10" s="5">
        <v>32.789484467999998</v>
      </c>
      <c r="AH10" s="6">
        <v>49.044100700000001</v>
      </c>
      <c r="AI10" s="5">
        <v>65.85922094</v>
      </c>
      <c r="AJ10" s="5">
        <v>75.247663074000002</v>
      </c>
      <c r="AK10" s="6">
        <v>96.686941379999993</v>
      </c>
      <c r="AL10" s="6">
        <v>119.24722770199899</v>
      </c>
      <c r="AM10" s="6">
        <v>143.20877404399999</v>
      </c>
      <c r="AN10" s="6">
        <v>162.82641432399899</v>
      </c>
      <c r="AO10" s="6">
        <v>172.35498246</v>
      </c>
      <c r="AP10" s="5">
        <v>140.96675801200001</v>
      </c>
      <c r="AQ10" s="6">
        <v>258.112095684</v>
      </c>
      <c r="AR10" s="2">
        <f t="shared" si="0"/>
        <v>166.4696903759999</v>
      </c>
      <c r="AZ10">
        <v>2040</v>
      </c>
      <c r="BA10" s="2">
        <v>738486.81361794192</v>
      </c>
      <c r="BB10" s="17">
        <f>BA10/1000</f>
        <v>738.48681361794195</v>
      </c>
      <c r="BC10">
        <v>6216218.9698479902</v>
      </c>
      <c r="BD10" s="17">
        <f>BC10/1000</f>
        <v>6216.2189698479906</v>
      </c>
      <c r="BE10">
        <f t="shared" si="2"/>
        <v>11.880000000000011</v>
      </c>
    </row>
    <row r="11" spans="1:57" x14ac:dyDescent="0.25">
      <c r="A11">
        <v>2003</v>
      </c>
      <c r="B11" s="15">
        <v>352.49405379725602</v>
      </c>
      <c r="C11" s="6">
        <v>0.63448929683506095</v>
      </c>
      <c r="D11" s="6">
        <v>2.0797149174038099</v>
      </c>
      <c r="E11" s="6">
        <v>3.6659381594914602</v>
      </c>
      <c r="F11" s="6">
        <v>1.5862232420876501</v>
      </c>
      <c r="G11" s="6">
        <v>2.0092161066443599</v>
      </c>
      <c r="H11" s="6">
        <v>2.5732065927199699</v>
      </c>
      <c r="I11" s="6">
        <v>3.9479334025292698</v>
      </c>
      <c r="J11" s="6">
        <v>4.7939191316426797</v>
      </c>
      <c r="K11" s="5">
        <v>8.2483608588558006</v>
      </c>
      <c r="L11" s="6">
        <v>12.3372918829039</v>
      </c>
      <c r="M11" s="6">
        <v>16.567220528471001</v>
      </c>
      <c r="N11" s="6">
        <v>18.928930688912601</v>
      </c>
      <c r="O11" s="5">
        <v>24.322089712010701</v>
      </c>
      <c r="P11" s="6">
        <v>29.9972439781465</v>
      </c>
      <c r="Q11" s="6">
        <v>36.0248922980796</v>
      </c>
      <c r="R11" s="6">
        <v>40.959809051241201</v>
      </c>
      <c r="S11" s="6">
        <v>43.3567686170625</v>
      </c>
      <c r="T11" s="6">
        <v>35.460901812004003</v>
      </c>
      <c r="U11" s="6">
        <v>64.929404709454602</v>
      </c>
      <c r="V11" s="2">
        <f t="shared" si="1"/>
        <v>352.42355498649664</v>
      </c>
      <c r="X11" s="8">
        <v>1903.45472</v>
      </c>
      <c r="Y11" s="6">
        <v>3.42621849599999</v>
      </c>
      <c r="Z11" s="6">
        <v>11.230382848</v>
      </c>
      <c r="AA11" s="6">
        <v>19.795929087999902</v>
      </c>
      <c r="AB11" s="5">
        <v>8.5655462399999998</v>
      </c>
      <c r="AC11" s="5">
        <v>10.849691904</v>
      </c>
      <c r="AD11" s="5">
        <v>13.895219456</v>
      </c>
      <c r="AE11" s="6">
        <v>21.318692863999999</v>
      </c>
      <c r="AF11" s="5">
        <v>25.886984192</v>
      </c>
      <c r="AG11" s="5">
        <v>44.540840447999997</v>
      </c>
      <c r="AH11" s="6">
        <v>66.620915199999999</v>
      </c>
      <c r="AI11" s="5">
        <v>89.462371840000003</v>
      </c>
      <c r="AJ11" s="5">
        <v>102.215518464</v>
      </c>
      <c r="AK11" s="5">
        <v>131.33837568000001</v>
      </c>
      <c r="AL11" s="5">
        <v>161.98399667199999</v>
      </c>
      <c r="AM11" s="6">
        <v>194.53307238400001</v>
      </c>
      <c r="AN11" s="5">
        <v>221.181438464</v>
      </c>
      <c r="AO11" s="6">
        <v>234.12493056</v>
      </c>
      <c r="AP11" s="6">
        <v>191.487544832</v>
      </c>
      <c r="AQ11" s="6">
        <v>350.616359424</v>
      </c>
      <c r="AR11" s="2">
        <f t="shared" si="0"/>
        <v>226.13042073599991</v>
      </c>
    </row>
    <row r="12" spans="1:57" x14ac:dyDescent="0.25">
      <c r="A12">
        <v>2004</v>
      </c>
      <c r="B12" s="15">
        <v>603.54418316884198</v>
      </c>
      <c r="C12" s="6">
        <v>1.0863795297039101</v>
      </c>
      <c r="D12" s="6">
        <v>3.5609106806961601</v>
      </c>
      <c r="E12" s="6">
        <v>6.2768595049559499</v>
      </c>
      <c r="F12" s="6">
        <v>2.71594882425978</v>
      </c>
      <c r="G12" s="5">
        <v>3.4402018440624</v>
      </c>
      <c r="H12" s="6">
        <v>4.4058725371325398</v>
      </c>
      <c r="I12" s="6">
        <v>6.7596948514910302</v>
      </c>
      <c r="J12" s="6">
        <v>8.2082008910962507</v>
      </c>
      <c r="K12" s="6">
        <v>14.1229338861509</v>
      </c>
      <c r="L12" s="6">
        <v>21.124046410909401</v>
      </c>
      <c r="M12" s="6">
        <v>28.3665766089355</v>
      </c>
      <c r="N12" s="6">
        <v>32.410322636166804</v>
      </c>
      <c r="O12" s="6">
        <v>41.6445486386501</v>
      </c>
      <c r="P12" s="6">
        <v>51.361609987668402</v>
      </c>
      <c r="Q12" s="6">
        <v>61.682215519855603</v>
      </c>
      <c r="R12" s="6">
        <v>70.131834084219406</v>
      </c>
      <c r="S12" s="6">
        <v>74.235934529767505</v>
      </c>
      <c r="T12" s="6">
        <v>60.716544826785501</v>
      </c>
      <c r="U12" s="6">
        <v>111.1728385397</v>
      </c>
      <c r="V12" s="2">
        <f t="shared" si="1"/>
        <v>603.42347433220709</v>
      </c>
      <c r="X12" s="8">
        <v>2935.44922</v>
      </c>
      <c r="Y12" s="5">
        <v>5.2838085960000001</v>
      </c>
      <c r="Z12" s="5">
        <v>17.319150398000001</v>
      </c>
      <c r="AA12" s="6">
        <v>30.528671887999899</v>
      </c>
      <c r="AB12" s="5">
        <v>13.20952149</v>
      </c>
      <c r="AC12" s="5">
        <v>16.732060554</v>
      </c>
      <c r="AD12" s="5">
        <v>21.428779305999999</v>
      </c>
      <c r="AE12" s="5">
        <v>32.877031264000003</v>
      </c>
      <c r="AF12" s="6">
        <v>39.922109391999903</v>
      </c>
      <c r="AG12" s="5">
        <v>68.689511748000001</v>
      </c>
      <c r="AH12" s="6">
        <v>102.74072270000001</v>
      </c>
      <c r="AI12" s="5">
        <v>137.96611333999999</v>
      </c>
      <c r="AJ12" s="5">
        <v>157.63362311399999</v>
      </c>
      <c r="AK12" s="6">
        <v>202.54599618</v>
      </c>
      <c r="AL12" s="6">
        <v>249.80672862199901</v>
      </c>
      <c r="AM12" s="6">
        <v>300.002910284</v>
      </c>
      <c r="AN12" s="5">
        <v>341.09919936400001</v>
      </c>
      <c r="AO12" s="6">
        <v>361.06025405999998</v>
      </c>
      <c r="AP12" s="6">
        <v>295.30619153200001</v>
      </c>
      <c r="AQ12" s="6">
        <v>540.70974632399998</v>
      </c>
      <c r="AR12" s="2">
        <f t="shared" si="0"/>
        <v>348.73136733599978</v>
      </c>
    </row>
    <row r="13" spans="1:57" x14ac:dyDescent="0.25">
      <c r="A13">
        <v>2005</v>
      </c>
      <c r="B13" s="14">
        <v>7225.6151231607</v>
      </c>
      <c r="C13" s="6">
        <v>13.0061072216892</v>
      </c>
      <c r="D13" s="6">
        <v>42.631129226648099</v>
      </c>
      <c r="E13" s="6">
        <v>75.146397280871199</v>
      </c>
      <c r="F13" s="6">
        <v>32.5152680542231</v>
      </c>
      <c r="G13" s="6">
        <v>41.186006202015903</v>
      </c>
      <c r="H13" s="6">
        <v>52.746990399073098</v>
      </c>
      <c r="I13" s="6">
        <v>80.926889379399796</v>
      </c>
      <c r="J13" s="6">
        <v>98.268365674985503</v>
      </c>
      <c r="K13" s="6">
        <v>169.07939388195999</v>
      </c>
      <c r="L13" s="6">
        <v>252.896529310624</v>
      </c>
      <c r="M13" s="6">
        <v>339.60391078855201</v>
      </c>
      <c r="N13" s="6">
        <v>388.01553211372902</v>
      </c>
      <c r="O13" s="6">
        <v>498.56744349808798</v>
      </c>
      <c r="P13" s="6">
        <v>614.89984698097498</v>
      </c>
      <c r="Q13" s="6">
        <v>738.45786558702298</v>
      </c>
      <c r="R13" s="6">
        <v>839.616477311273</v>
      </c>
      <c r="S13" s="6">
        <v>888.75066014876597</v>
      </c>
      <c r="T13" s="6">
        <v>726.89688138996598</v>
      </c>
      <c r="U13" s="6">
        <v>1330.9583056862</v>
      </c>
      <c r="V13" s="2">
        <f t="shared" si="1"/>
        <v>7224.1700001360614</v>
      </c>
      <c r="X13" s="7">
        <v>4339.8026399999999</v>
      </c>
      <c r="Y13" s="6">
        <v>7.8116447519999896</v>
      </c>
      <c r="Z13" s="5">
        <v>25.604835575999999</v>
      </c>
      <c r="AA13" s="6">
        <v>45.133947455999902</v>
      </c>
      <c r="AB13" s="6">
        <v>19.529111879999999</v>
      </c>
      <c r="AC13" s="6">
        <v>24.736875047999899</v>
      </c>
      <c r="AD13" s="5">
        <v>31.680559272</v>
      </c>
      <c r="AE13" s="6">
        <v>48.605789567999999</v>
      </c>
      <c r="AF13" s="6">
        <v>59.021315903999898</v>
      </c>
      <c r="AG13" s="5">
        <v>101.551381776</v>
      </c>
      <c r="AH13" s="6">
        <v>151.8930924</v>
      </c>
      <c r="AI13" s="6">
        <v>203.970724079999</v>
      </c>
      <c r="AJ13" s="5">
        <v>233.04740176799999</v>
      </c>
      <c r="AK13" s="6">
        <v>299.44638215999998</v>
      </c>
      <c r="AL13" s="5">
        <v>369.31720466399997</v>
      </c>
      <c r="AM13" s="6">
        <v>443.52782980799998</v>
      </c>
      <c r="AN13" s="5">
        <v>504.28506676799998</v>
      </c>
      <c r="AO13" s="6">
        <v>533.79572471999995</v>
      </c>
      <c r="AP13" s="6">
        <v>436.584145584</v>
      </c>
      <c r="AQ13" s="6">
        <v>799.39164628799995</v>
      </c>
      <c r="AR13" s="2">
        <f t="shared" si="0"/>
        <v>515.56855363199975</v>
      </c>
      <c r="BA13" t="s">
        <v>9</v>
      </c>
      <c r="BD13" t="s">
        <v>12</v>
      </c>
    </row>
    <row r="14" spans="1:57" x14ac:dyDescent="0.25">
      <c r="A14">
        <v>2006</v>
      </c>
      <c r="B14" s="15">
        <v>14345.235185751601</v>
      </c>
      <c r="C14" s="6">
        <v>25.8214233343529</v>
      </c>
      <c r="D14" s="6">
        <v>84.636887595934695</v>
      </c>
      <c r="E14" s="6">
        <v>149.19044593181701</v>
      </c>
      <c r="F14" s="6">
        <v>64.5535583358824</v>
      </c>
      <c r="G14" s="6">
        <v>81.7678405587844</v>
      </c>
      <c r="H14" s="6">
        <v>104.720216855987</v>
      </c>
      <c r="I14" s="6">
        <v>160.66663408041799</v>
      </c>
      <c r="J14" s="6">
        <v>195.09519852622199</v>
      </c>
      <c r="K14" s="6">
        <v>335.678503346588</v>
      </c>
      <c r="L14" s="5">
        <v>502.08323150130798</v>
      </c>
      <c r="M14" s="6">
        <v>674.22605373032695</v>
      </c>
      <c r="N14" s="6">
        <v>770.33912947486294</v>
      </c>
      <c r="O14" s="6">
        <v>989.82122781686405</v>
      </c>
      <c r="P14" s="6">
        <v>1220.77951430746</v>
      </c>
      <c r="Q14" s="6">
        <v>1466.0830359838101</v>
      </c>
      <c r="R14" s="6">
        <v>1666.9163285843399</v>
      </c>
      <c r="S14" s="6">
        <v>1764.4639278474499</v>
      </c>
      <c r="T14" s="6">
        <v>1443.13065968661</v>
      </c>
      <c r="U14" s="6">
        <v>2642.39232121545</v>
      </c>
      <c r="V14" s="2">
        <f t="shared" si="1"/>
        <v>14342.366138714469</v>
      </c>
      <c r="X14" s="7">
        <v>5770.7369099999996</v>
      </c>
      <c r="Y14" s="6">
        <v>10.387326437999899</v>
      </c>
      <c r="Z14" s="5">
        <v>34.047347768999998</v>
      </c>
      <c r="AA14" s="5">
        <v>60.015663863999997</v>
      </c>
      <c r="AB14" s="6">
        <v>25.968316094999999</v>
      </c>
      <c r="AC14" s="6">
        <v>32.893200386999901</v>
      </c>
      <c r="AD14" s="5">
        <v>42.126379442999998</v>
      </c>
      <c r="AE14" s="6">
        <v>64.632253391999996</v>
      </c>
      <c r="AF14" s="5">
        <v>78.482021975999999</v>
      </c>
      <c r="AG14" s="5">
        <v>135.035243694</v>
      </c>
      <c r="AH14" s="6">
        <v>201.97579185000001</v>
      </c>
      <c r="AI14" s="6">
        <v>271.224634769999</v>
      </c>
      <c r="AJ14" s="5">
        <v>309.88857206699998</v>
      </c>
      <c r="AK14" s="6">
        <v>398.18084678999998</v>
      </c>
      <c r="AL14" s="5">
        <v>491.08971104099999</v>
      </c>
      <c r="AM14" s="5">
        <v>589.76931220200004</v>
      </c>
      <c r="AN14" s="5">
        <v>670.55962894200002</v>
      </c>
      <c r="AO14" s="6">
        <v>709.80063992999999</v>
      </c>
      <c r="AP14" s="6">
        <v>580.536133146</v>
      </c>
      <c r="AQ14" s="6">
        <v>1062.969738822</v>
      </c>
      <c r="AR14" s="2">
        <f t="shared" si="0"/>
        <v>685.56354490799981</v>
      </c>
      <c r="BA14" t="s">
        <v>10</v>
      </c>
      <c r="BB14" t="s">
        <v>11</v>
      </c>
      <c r="BD14" t="s">
        <v>10</v>
      </c>
      <c r="BE14" t="s">
        <v>11</v>
      </c>
    </row>
    <row r="15" spans="1:57" x14ac:dyDescent="0.25">
      <c r="A15">
        <v>2007</v>
      </c>
      <c r="B15" s="15">
        <v>14354.687497769501</v>
      </c>
      <c r="C15" s="6">
        <v>25.838437495985101</v>
      </c>
      <c r="D15" s="6">
        <v>84.692656236840193</v>
      </c>
      <c r="E15" s="6">
        <v>149.28874997680299</v>
      </c>
      <c r="F15" s="5">
        <v>64.596093739962896</v>
      </c>
      <c r="G15" s="6">
        <v>81.821718737286304</v>
      </c>
      <c r="H15" s="6">
        <v>104.78921873371699</v>
      </c>
      <c r="I15" s="6">
        <v>160.77249997501801</v>
      </c>
      <c r="J15" s="6">
        <v>195.22374996966499</v>
      </c>
      <c r="K15" s="5">
        <v>335.89968744780703</v>
      </c>
      <c r="L15" s="6">
        <v>502.41406242193301</v>
      </c>
      <c r="M15" s="6">
        <v>674.67031239516803</v>
      </c>
      <c r="N15" s="6">
        <v>770.84671863022299</v>
      </c>
      <c r="O15" s="5">
        <v>990.47343734609797</v>
      </c>
      <c r="P15" s="6">
        <v>1221.58390606018</v>
      </c>
      <c r="Q15" s="6">
        <v>1467.0490622720399</v>
      </c>
      <c r="R15" s="5">
        <v>1668.01468724082</v>
      </c>
      <c r="S15" s="6">
        <v>1765.6265622256501</v>
      </c>
      <c r="T15" s="6">
        <v>1444.0815622756099</v>
      </c>
      <c r="U15" s="6">
        <v>2644.13343708914</v>
      </c>
      <c r="V15" s="2">
        <f t="shared" si="1"/>
        <v>14351.816560269946</v>
      </c>
      <c r="X15" s="7">
        <v>7915.7534999999998</v>
      </c>
      <c r="Y15" s="5">
        <v>14.248356299999999</v>
      </c>
      <c r="Z15" s="5">
        <v>46.702945649999997</v>
      </c>
      <c r="AA15" s="5">
        <v>82.323836400000005</v>
      </c>
      <c r="AB15" s="5">
        <v>35.620890750000001</v>
      </c>
      <c r="AC15" s="6">
        <v>45.1197949499999</v>
      </c>
      <c r="AD15" s="5">
        <v>57.785000549999999</v>
      </c>
      <c r="AE15" s="6">
        <v>88.656439199999994</v>
      </c>
      <c r="AF15" s="5">
        <v>107.65424760000001</v>
      </c>
      <c r="AG15" s="5">
        <v>185.22863190000001</v>
      </c>
      <c r="AH15" s="6">
        <v>277.05137250000001</v>
      </c>
      <c r="AI15" s="5">
        <v>372.0404145</v>
      </c>
      <c r="AJ15" s="6">
        <v>425.075962949999</v>
      </c>
      <c r="AK15" s="6">
        <v>546.18699149999998</v>
      </c>
      <c r="AL15" s="5">
        <v>673.63062285000001</v>
      </c>
      <c r="AM15" s="6">
        <v>808.99000769999998</v>
      </c>
      <c r="AN15" s="5">
        <v>919.81055670000001</v>
      </c>
      <c r="AO15" s="6">
        <v>973.63768049999999</v>
      </c>
      <c r="AP15" s="6">
        <v>796.32480210000006</v>
      </c>
      <c r="AQ15" s="6">
        <v>1458.0817947</v>
      </c>
      <c r="AR15" s="2">
        <f t="shared" si="0"/>
        <v>940.39151579999998</v>
      </c>
      <c r="AZ15">
        <v>2020</v>
      </c>
      <c r="BA15" s="15">
        <v>77440.727866581903</v>
      </c>
      <c r="BB15" s="2">
        <v>77425.239721008504</v>
      </c>
      <c r="BC15">
        <f>BB15*100/BA15</f>
        <v>99.97999999999989</v>
      </c>
      <c r="BD15" s="17">
        <f>BA15/1000000</f>
        <v>7.7440727866581904E-2</v>
      </c>
      <c r="BE15" s="17">
        <f>BB15/1000000</f>
        <v>7.742523972100851E-2</v>
      </c>
    </row>
    <row r="16" spans="1:57" x14ac:dyDescent="0.25">
      <c r="A16">
        <v>2008</v>
      </c>
      <c r="B16" s="15">
        <v>14382.6761373753</v>
      </c>
      <c r="C16" s="6">
        <v>25.888817047275602</v>
      </c>
      <c r="D16" s="6">
        <v>84.857789210514497</v>
      </c>
      <c r="E16" s="6">
        <v>149.57983182870299</v>
      </c>
      <c r="F16" s="6">
        <v>64.722042618188993</v>
      </c>
      <c r="G16" s="6">
        <v>81.981253983039394</v>
      </c>
      <c r="H16" s="6">
        <v>104.99353580284</v>
      </c>
      <c r="I16" s="6">
        <v>161.085972738603</v>
      </c>
      <c r="J16" s="6">
        <v>195.60439546830401</v>
      </c>
      <c r="K16" s="6">
        <v>336.554621614582</v>
      </c>
      <c r="L16" s="6">
        <v>503.39366480813698</v>
      </c>
      <c r="M16" s="5">
        <v>675.98577845664101</v>
      </c>
      <c r="N16" s="6">
        <v>772.34970857705503</v>
      </c>
      <c r="O16" s="6">
        <v>992.40465347889801</v>
      </c>
      <c r="P16" s="6">
        <v>1223.9657392906399</v>
      </c>
      <c r="Q16" s="5">
        <v>1469.9095012397599</v>
      </c>
      <c r="R16" s="6">
        <v>1671.2669671630099</v>
      </c>
      <c r="S16" s="6">
        <v>1769.0691648971599</v>
      </c>
      <c r="T16" s="6">
        <v>1446.89721941995</v>
      </c>
      <c r="U16" s="6">
        <v>2649.2889445045298</v>
      </c>
      <c r="V16" s="2">
        <f t="shared" si="1"/>
        <v>14379.799602147832</v>
      </c>
      <c r="X16" s="7">
        <v>13099.608469999999</v>
      </c>
      <c r="Y16" s="5">
        <v>23.579295246000001</v>
      </c>
      <c r="Z16" s="5">
        <v>77.287689972999999</v>
      </c>
      <c r="AA16" s="5">
        <v>136.23592808800001</v>
      </c>
      <c r="AB16" s="6">
        <v>58.948238115000002</v>
      </c>
      <c r="AC16" s="5">
        <v>74.667768279000001</v>
      </c>
      <c r="AD16" s="5">
        <v>95.627141831000003</v>
      </c>
      <c r="AE16" s="6">
        <v>146.715614864</v>
      </c>
      <c r="AF16" s="5">
        <v>178.15467519200001</v>
      </c>
      <c r="AG16" s="5">
        <v>306.53083819800003</v>
      </c>
      <c r="AH16" s="6">
        <v>458.48629645</v>
      </c>
      <c r="AI16" s="6">
        <v>615.68159808999997</v>
      </c>
      <c r="AJ16" s="6">
        <v>703.44897483899899</v>
      </c>
      <c r="AK16" s="6">
        <v>903.87298442999997</v>
      </c>
      <c r="AL16" s="5">
        <v>1114.7766807969999</v>
      </c>
      <c r="AM16" s="6">
        <v>1338.779985634</v>
      </c>
      <c r="AN16" s="5">
        <v>1522.1745042140001</v>
      </c>
      <c r="AO16" s="6">
        <v>1611.2518418100001</v>
      </c>
      <c r="AP16" s="6">
        <v>1317.820612082</v>
      </c>
      <c r="AQ16" s="6">
        <v>2412.9478801740001</v>
      </c>
      <c r="AR16" s="2">
        <f t="shared" si="0"/>
        <v>1556.2334862360001</v>
      </c>
      <c r="AZ16">
        <v>2025</v>
      </c>
      <c r="BA16" s="15">
        <v>392758.95027053199</v>
      </c>
      <c r="BB16" s="2">
        <v>762449.14693394082</v>
      </c>
      <c r="BC16">
        <f t="shared" ref="BC16:BC19" si="3">BA16*100/BB16</f>
        <v>51.512806047451832</v>
      </c>
      <c r="BD16" s="17">
        <f>BA16/1000000</f>
        <v>0.39275895027053198</v>
      </c>
      <c r="BE16" s="17">
        <f>BB16/1000000</f>
        <v>0.76244914693394084</v>
      </c>
    </row>
    <row r="17" spans="1:57" x14ac:dyDescent="0.25">
      <c r="A17">
        <v>2009</v>
      </c>
      <c r="B17" s="15">
        <v>14457.7617056213</v>
      </c>
      <c r="C17" s="6">
        <v>26.023971070118399</v>
      </c>
      <c r="D17" s="6">
        <v>85.300794063165995</v>
      </c>
      <c r="E17" s="6">
        <v>150.36072173846199</v>
      </c>
      <c r="F17" s="6">
        <v>65.059927675296095</v>
      </c>
      <c r="G17" s="6">
        <v>82.409241722041699</v>
      </c>
      <c r="H17" s="6">
        <v>105.541660451035</v>
      </c>
      <c r="I17" s="6">
        <v>161.926931102959</v>
      </c>
      <c r="J17" s="6">
        <v>196.62555919645001</v>
      </c>
      <c r="K17" s="6">
        <v>338.31162391153902</v>
      </c>
      <c r="L17" s="6">
        <v>506.02165969674701</v>
      </c>
      <c r="M17" s="6">
        <v>679.51480016420396</v>
      </c>
      <c r="N17" s="6">
        <v>776.38180359186697</v>
      </c>
      <c r="O17" s="6">
        <v>997.58555768787403</v>
      </c>
      <c r="P17" s="6">
        <v>1230.3555211483699</v>
      </c>
      <c r="Q17" s="6">
        <v>1477.5832463145</v>
      </c>
      <c r="R17" s="6">
        <v>1679.9919101932001</v>
      </c>
      <c r="S17" s="6">
        <v>1778.3046897914201</v>
      </c>
      <c r="T17" s="6">
        <v>1454.4508275855001</v>
      </c>
      <c r="U17" s="6">
        <v>2663.1197061754501</v>
      </c>
      <c r="V17" s="2">
        <f t="shared" si="1"/>
        <v>14454.870153280201</v>
      </c>
      <c r="X17" s="7">
        <v>19680.329018</v>
      </c>
      <c r="Y17" s="5">
        <v>35.424592232400002</v>
      </c>
      <c r="Z17" s="5">
        <v>116.1139412062</v>
      </c>
      <c r="AA17" s="5">
        <v>204.67542178720001</v>
      </c>
      <c r="AB17" s="6">
        <v>88.561480580999998</v>
      </c>
      <c r="AC17" s="5">
        <v>112.17787540259999</v>
      </c>
      <c r="AD17" s="5">
        <v>143.66640183140001</v>
      </c>
      <c r="AE17" s="6">
        <v>220.41968500159999</v>
      </c>
      <c r="AF17" s="5">
        <v>267.65247464480001</v>
      </c>
      <c r="AG17" s="6">
        <v>460.51969902119998</v>
      </c>
      <c r="AH17" s="6">
        <v>688.81151563000003</v>
      </c>
      <c r="AI17" s="6">
        <v>924.97546384600003</v>
      </c>
      <c r="AJ17" s="5">
        <v>1056.8336682665999</v>
      </c>
      <c r="AK17" s="6">
        <v>1357.942702242</v>
      </c>
      <c r="AL17" s="6">
        <v>1674.7959994317901</v>
      </c>
      <c r="AM17" s="6">
        <v>2011.3296256396</v>
      </c>
      <c r="AN17" s="5">
        <v>2286.8542318916002</v>
      </c>
      <c r="AO17" s="6">
        <v>2420.6804692139999</v>
      </c>
      <c r="AP17" s="6">
        <v>1979.8410992107999</v>
      </c>
      <c r="AQ17" s="6">
        <v>3625.1166051156001</v>
      </c>
      <c r="AR17" s="2">
        <f t="shared" si="0"/>
        <v>2338.0230873383998</v>
      </c>
      <c r="AZ17">
        <v>2030</v>
      </c>
      <c r="BA17" s="15">
        <v>1735935.95631889</v>
      </c>
      <c r="BB17" s="2">
        <v>4834217.2952890368</v>
      </c>
      <c r="BC17">
        <f t="shared" si="3"/>
        <v>35.909348924190191</v>
      </c>
      <c r="BD17" s="17">
        <f>BA17/1000000</f>
        <v>1.7359359563188901</v>
      </c>
      <c r="BE17" s="17">
        <f>BB17/1000000</f>
        <v>4.8342172952890365</v>
      </c>
    </row>
    <row r="18" spans="1:57" x14ac:dyDescent="0.25">
      <c r="A18">
        <v>2010</v>
      </c>
      <c r="B18" s="15">
        <v>14642.802177670401</v>
      </c>
      <c r="C18" s="6">
        <v>26.357043919806799</v>
      </c>
      <c r="D18" s="6">
        <v>86.392532848255598</v>
      </c>
      <c r="E18" s="6">
        <v>152.28514264777201</v>
      </c>
      <c r="F18" s="5">
        <v>65.892609799517004</v>
      </c>
      <c r="G18" s="6">
        <v>83.463972412721503</v>
      </c>
      <c r="H18" s="6">
        <v>106.89245589699399</v>
      </c>
      <c r="I18" s="6">
        <v>163.99938438990901</v>
      </c>
      <c r="J18" s="6">
        <v>199.14210961631801</v>
      </c>
      <c r="K18" s="6">
        <v>342.641570957488</v>
      </c>
      <c r="L18" s="6">
        <v>512.49807621846503</v>
      </c>
      <c r="M18" s="5">
        <v>688.21170235051102</v>
      </c>
      <c r="N18" s="6">
        <v>786.31847694090197</v>
      </c>
      <c r="O18" s="6">
        <v>1010.35335025926</v>
      </c>
      <c r="P18" s="6">
        <v>1246.1024653197501</v>
      </c>
      <c r="Q18" s="6">
        <v>1496.4943825579101</v>
      </c>
      <c r="R18" s="6">
        <v>1701.4936130453</v>
      </c>
      <c r="S18" s="6">
        <v>1801.0646678534599</v>
      </c>
      <c r="T18" s="6">
        <v>1473.0658990736399</v>
      </c>
      <c r="U18" s="6">
        <v>2697.2041611268901</v>
      </c>
      <c r="V18" s="2">
        <f t="shared" si="1"/>
        <v>14639.873617234869</v>
      </c>
      <c r="X18" s="7">
        <v>34547.186338</v>
      </c>
      <c r="Y18" s="5">
        <v>62.184935408400001</v>
      </c>
      <c r="Z18" s="5">
        <v>203.82839939420001</v>
      </c>
      <c r="AA18" s="5">
        <v>359.2907379152</v>
      </c>
      <c r="AB18" s="6">
        <v>155.46233852099999</v>
      </c>
      <c r="AC18" s="6">
        <v>196.91896212659901</v>
      </c>
      <c r="AD18" s="6">
        <v>252.19446026739999</v>
      </c>
      <c r="AE18" s="6">
        <v>386.92848698559999</v>
      </c>
      <c r="AF18" s="5">
        <v>469.84173419680002</v>
      </c>
      <c r="AG18" s="5">
        <v>808.40416030920005</v>
      </c>
      <c r="AH18" s="5">
        <v>1209.1515218300001</v>
      </c>
      <c r="AI18" s="5">
        <v>1623.7177578860001</v>
      </c>
      <c r="AJ18" s="5">
        <v>1855.1839063506</v>
      </c>
      <c r="AK18" s="6">
        <v>2383.7558573219999</v>
      </c>
      <c r="AL18" s="5">
        <v>2939.9655573638001</v>
      </c>
      <c r="AM18" s="6">
        <v>3530.7224437435998</v>
      </c>
      <c r="AN18" s="6">
        <v>4014.3830524755999</v>
      </c>
      <c r="AO18" s="5">
        <v>4249.3039195740002</v>
      </c>
      <c r="AP18" s="5">
        <v>3475.4469456028</v>
      </c>
      <c r="AQ18" s="6">
        <v>6363.5917234596</v>
      </c>
      <c r="AR18" s="2">
        <f t="shared" si="0"/>
        <v>4104.2057369543991</v>
      </c>
      <c r="AZ18">
        <v>2035</v>
      </c>
      <c r="BA18" s="15">
        <v>6717929.4850723902</v>
      </c>
      <c r="BB18" s="2">
        <v>18196944.460661866</v>
      </c>
      <c r="BC18">
        <f t="shared" si="3"/>
        <v>36.91789849441593</v>
      </c>
      <c r="BD18" s="17">
        <f>BA18/1000000</f>
        <v>6.7179294850723901</v>
      </c>
      <c r="BE18" s="17">
        <f>BB18/1000000</f>
        <v>18.196944460661864</v>
      </c>
    </row>
    <row r="19" spans="1:57" x14ac:dyDescent="0.25">
      <c r="A19">
        <v>2011</v>
      </c>
      <c r="B19" s="15">
        <v>15065.4119963343</v>
      </c>
      <c r="C19" s="6">
        <v>27.117741593401799</v>
      </c>
      <c r="D19" s="6">
        <v>88.885930778372597</v>
      </c>
      <c r="E19" s="6">
        <v>156.680284761877</v>
      </c>
      <c r="F19" s="6">
        <v>67.794353983504493</v>
      </c>
      <c r="G19" s="5">
        <v>85.872848379105804</v>
      </c>
      <c r="H19" s="6">
        <v>109.97750757324</v>
      </c>
      <c r="I19" s="6">
        <v>168.73261435894401</v>
      </c>
      <c r="J19" s="6">
        <v>204.889603150147</v>
      </c>
      <c r="K19" s="6">
        <v>352.53064071422301</v>
      </c>
      <c r="L19" s="6">
        <v>527.28941987170197</v>
      </c>
      <c r="M19" s="6">
        <v>708.07436382771402</v>
      </c>
      <c r="N19" s="6">
        <v>809.01262420315402</v>
      </c>
      <c r="O19" s="6">
        <v>1039.51342774707</v>
      </c>
      <c r="P19" s="6">
        <v>1282.0665608880499</v>
      </c>
      <c r="Q19" s="6">
        <v>1539.68510602537</v>
      </c>
      <c r="R19" s="6">
        <v>1750.60087397405</v>
      </c>
      <c r="S19" s="6">
        <v>1853.04567554912</v>
      </c>
      <c r="T19" s="6">
        <v>1515.5804468312299</v>
      </c>
      <c r="U19" s="6">
        <v>2775.0488897247801</v>
      </c>
      <c r="V19" s="2">
        <f t="shared" si="1"/>
        <v>15062.398913935054</v>
      </c>
      <c r="X19" s="7">
        <v>62310.207368000003</v>
      </c>
      <c r="Y19" s="5">
        <v>112.1583732624</v>
      </c>
      <c r="Z19" s="5">
        <v>367.6302234712</v>
      </c>
      <c r="AA19" s="5">
        <v>648.02615662719995</v>
      </c>
      <c r="AB19" s="6">
        <v>280.39593315600001</v>
      </c>
      <c r="AC19" s="6">
        <v>355.16818199759899</v>
      </c>
      <c r="AD19" s="6">
        <v>454.86451378639998</v>
      </c>
      <c r="AE19" s="6">
        <v>697.87432252159999</v>
      </c>
      <c r="AF19" s="5">
        <v>847.4188202048</v>
      </c>
      <c r="AG19" s="5">
        <v>1458.0588524112</v>
      </c>
      <c r="AH19" s="6">
        <v>2180.8572578799999</v>
      </c>
      <c r="AI19" s="5">
        <v>2928.5797462959999</v>
      </c>
      <c r="AJ19" s="5">
        <v>3346.0581356615999</v>
      </c>
      <c r="AK19" s="6">
        <v>4299.4043083919996</v>
      </c>
      <c r="AL19" s="5">
        <v>5302.5986470168</v>
      </c>
      <c r="AM19" s="6">
        <v>6368.1031930095996</v>
      </c>
      <c r="AN19" s="6">
        <v>7240.4460961615996</v>
      </c>
      <c r="AO19" s="5">
        <v>7664.155506264</v>
      </c>
      <c r="AP19" s="5">
        <v>6268.4068612208002</v>
      </c>
      <c r="AQ19" s="5">
        <v>11477.540197185601</v>
      </c>
      <c r="AR19" s="2">
        <f t="shared" si="0"/>
        <v>7402.4526353183974</v>
      </c>
      <c r="AZ19">
        <v>2040</v>
      </c>
      <c r="BA19" s="15">
        <v>11419838.2747941</v>
      </c>
      <c r="BB19" s="2">
        <v>38720073.639245003</v>
      </c>
      <c r="BC19">
        <f t="shared" si="3"/>
        <v>29.49332788256746</v>
      </c>
      <c r="BD19" s="17">
        <f>BA19/1000000</f>
        <v>11.419838274794099</v>
      </c>
      <c r="BE19" s="17">
        <f>BB19/1000000</f>
        <v>38.720073639245001</v>
      </c>
    </row>
    <row r="20" spans="1:57" x14ac:dyDescent="0.25">
      <c r="A20">
        <v>2012</v>
      </c>
      <c r="B20" s="15">
        <v>25576.1313320933</v>
      </c>
      <c r="C20" s="6">
        <v>46.037036397767999</v>
      </c>
      <c r="D20" s="6">
        <v>150.89917485935001</v>
      </c>
      <c r="E20" s="6">
        <v>265.99176585377103</v>
      </c>
      <c r="F20" s="6">
        <v>115.09259099441999</v>
      </c>
      <c r="G20" s="6">
        <v>145.78394859293201</v>
      </c>
      <c r="H20" s="6">
        <v>186.705758724281</v>
      </c>
      <c r="I20" s="6">
        <v>286.45267091944498</v>
      </c>
      <c r="J20" s="6">
        <v>347.83538611646901</v>
      </c>
      <c r="K20" s="6">
        <v>598.48147317098403</v>
      </c>
      <c r="L20" s="6">
        <v>895.16459662326804</v>
      </c>
      <c r="M20" s="6">
        <v>1202.0781726083801</v>
      </c>
      <c r="N20" s="6">
        <v>1373.4382525334099</v>
      </c>
      <c r="O20" s="6">
        <v>1764.75306191444</v>
      </c>
      <c r="P20" s="6">
        <v>2176.52877636114</v>
      </c>
      <c r="Q20" s="6">
        <v>2613.88062213994</v>
      </c>
      <c r="R20" s="6">
        <v>2971.9464607892401</v>
      </c>
      <c r="S20" s="6">
        <v>3145.8641538474799</v>
      </c>
      <c r="T20" s="6">
        <v>2572.95881200859</v>
      </c>
      <c r="U20" s="5">
        <v>4711.1233913715996</v>
      </c>
      <c r="V20" s="2">
        <f t="shared" si="1"/>
        <v>25571.016105826908</v>
      </c>
      <c r="X20" s="7">
        <v>89354.085598000005</v>
      </c>
      <c r="Y20" s="5">
        <v>160.8373540764</v>
      </c>
      <c r="Z20" s="5">
        <v>527.18910502819995</v>
      </c>
      <c r="AA20" s="6">
        <v>929.28249021919896</v>
      </c>
      <c r="AB20" s="6">
        <v>402.09338519099998</v>
      </c>
      <c r="AC20" s="6">
        <v>509.31828790859902</v>
      </c>
      <c r="AD20" s="5">
        <v>652.28482486539997</v>
      </c>
      <c r="AE20" s="6">
        <v>1000.7657586975999</v>
      </c>
      <c r="AF20" s="5">
        <v>1215.2155641328</v>
      </c>
      <c r="AG20" s="5">
        <v>2090.8856029931999</v>
      </c>
      <c r="AH20" s="6">
        <v>3127.3929959299999</v>
      </c>
      <c r="AI20" s="5">
        <v>4199.6420231060001</v>
      </c>
      <c r="AJ20" s="5">
        <v>4798.3143966125999</v>
      </c>
      <c r="AK20" s="6">
        <v>6165.4319062619998</v>
      </c>
      <c r="AL20" s="5">
        <v>7604.0326843898001</v>
      </c>
      <c r="AM20" s="6">
        <v>9131.9875481155996</v>
      </c>
      <c r="AN20" s="6">
        <v>10382.944746487599</v>
      </c>
      <c r="AO20" s="5">
        <v>10990.552528554001</v>
      </c>
      <c r="AP20" s="5">
        <v>8989.0210111588003</v>
      </c>
      <c r="AQ20" s="6">
        <v>16459.022567151598</v>
      </c>
      <c r="AR20" s="2">
        <f t="shared" si="0"/>
        <v>10615.265369042398</v>
      </c>
    </row>
    <row r="21" spans="1:57" x14ac:dyDescent="0.25">
      <c r="A21">
        <v>2013</v>
      </c>
      <c r="B21" s="15">
        <v>37745.061768621097</v>
      </c>
      <c r="C21" s="6">
        <v>67.941111183517904</v>
      </c>
      <c r="D21" s="6">
        <v>222.69586443486401</v>
      </c>
      <c r="E21" s="6">
        <v>392.54864239365901</v>
      </c>
      <c r="F21" s="6">
        <v>169.85277795879401</v>
      </c>
      <c r="G21" s="6">
        <v>215.14685208114</v>
      </c>
      <c r="H21" s="6">
        <v>275.53895091093398</v>
      </c>
      <c r="I21" s="6">
        <v>422.74469180855601</v>
      </c>
      <c r="J21" s="5">
        <v>513.33284005324697</v>
      </c>
      <c r="K21" s="6">
        <v>883.23444538573301</v>
      </c>
      <c r="L21" s="6">
        <v>1321.0771619017301</v>
      </c>
      <c r="M21" s="6">
        <v>1774.0179031251901</v>
      </c>
      <c r="N21" s="6">
        <v>2026.90981697495</v>
      </c>
      <c r="O21" s="6">
        <v>2604.4092620348501</v>
      </c>
      <c r="P21" s="6">
        <v>3212.1047565096501</v>
      </c>
      <c r="Q21" s="6">
        <v>3857.54531275307</v>
      </c>
      <c r="R21" s="6">
        <v>4385.9761775137704</v>
      </c>
      <c r="S21" s="6">
        <v>4642.6425975403899</v>
      </c>
      <c r="T21" s="6">
        <v>3797.15321392328</v>
      </c>
      <c r="U21" s="6">
        <v>6952.6403777799997</v>
      </c>
      <c r="V21" s="2">
        <f t="shared" si="1"/>
        <v>37737.512756267322</v>
      </c>
      <c r="X21" s="7">
        <v>123045.610958</v>
      </c>
      <c r="Y21" s="5">
        <v>221.4820997244</v>
      </c>
      <c r="Z21" s="6">
        <v>725.96910465219901</v>
      </c>
      <c r="AA21" s="6">
        <v>1279.67435396319</v>
      </c>
      <c r="AB21" s="5">
        <v>553.70524931099999</v>
      </c>
      <c r="AC21" s="6">
        <v>701.35998246059899</v>
      </c>
      <c r="AD21" s="5">
        <v>898.23295999339996</v>
      </c>
      <c r="AE21" s="6">
        <v>1378.1108427296001</v>
      </c>
      <c r="AF21" s="5">
        <v>1673.4203090287999</v>
      </c>
      <c r="AG21" s="6">
        <v>2879.2672964171902</v>
      </c>
      <c r="AH21" s="6">
        <v>4306.5963835299999</v>
      </c>
      <c r="AI21" s="5">
        <v>5783.1437150259999</v>
      </c>
      <c r="AJ21" s="5">
        <v>6607.5493084445998</v>
      </c>
      <c r="AK21" s="5">
        <v>8490.1471561020007</v>
      </c>
      <c r="AL21" s="5">
        <v>10471.1814925258</v>
      </c>
      <c r="AM21" s="6">
        <v>12575.261439907599</v>
      </c>
      <c r="AN21" s="6">
        <v>14297.899993319599</v>
      </c>
      <c r="AO21" s="5">
        <v>15134.610147834001</v>
      </c>
      <c r="AP21" s="5">
        <v>12378.3884623748</v>
      </c>
      <c r="AQ21" s="6">
        <v>22665.001538463599</v>
      </c>
      <c r="AR21" s="2">
        <f t="shared" si="0"/>
        <v>14617.818581810378</v>
      </c>
    </row>
    <row r="22" spans="1:57" x14ac:dyDescent="0.25">
      <c r="A22">
        <v>2014</v>
      </c>
      <c r="B22" s="15">
        <v>53305.0796449806</v>
      </c>
      <c r="C22" s="6">
        <v>95.949143360965195</v>
      </c>
      <c r="D22" s="5">
        <v>314.49996990538602</v>
      </c>
      <c r="E22" s="6">
        <v>554.37282830779895</v>
      </c>
      <c r="F22" s="6">
        <v>239.87285840241299</v>
      </c>
      <c r="G22" s="6">
        <v>303.83895397638901</v>
      </c>
      <c r="H22" s="5">
        <v>389.127081408359</v>
      </c>
      <c r="I22" s="6">
        <v>597.01689202378304</v>
      </c>
      <c r="J22" s="6">
        <v>724.94908317173702</v>
      </c>
      <c r="K22" s="6">
        <v>1247.3388636925399</v>
      </c>
      <c r="L22" s="6">
        <v>1865.6777875743201</v>
      </c>
      <c r="M22" s="6">
        <v>2505.3387433140902</v>
      </c>
      <c r="N22" s="6">
        <v>2862.4827769354602</v>
      </c>
      <c r="O22" s="6">
        <v>3678.0504955036599</v>
      </c>
      <c r="P22" s="6">
        <v>4536.2622777878496</v>
      </c>
      <c r="Q22" s="6">
        <v>5447.7791397170204</v>
      </c>
      <c r="R22" s="6">
        <v>6194.0502547467504</v>
      </c>
      <c r="S22" s="6">
        <v>6556.5247963326201</v>
      </c>
      <c r="T22" s="6">
        <v>5362.4910122850497</v>
      </c>
      <c r="U22" s="6">
        <v>9818.7956706054392</v>
      </c>
      <c r="V22" s="2">
        <f t="shared" si="1"/>
        <v>53294.41862905163</v>
      </c>
      <c r="X22" s="7">
        <v>159921.80960800001</v>
      </c>
      <c r="Y22" s="5">
        <v>287.85925729439998</v>
      </c>
      <c r="Z22" s="6">
        <v>943.53867668719897</v>
      </c>
      <c r="AA22" s="5">
        <v>1663.1868199231999</v>
      </c>
      <c r="AB22" s="5">
        <v>719.64814323600001</v>
      </c>
      <c r="AC22" s="6">
        <v>911.55431476559897</v>
      </c>
      <c r="AD22" s="6">
        <v>1167.4292101383901</v>
      </c>
      <c r="AE22" s="6">
        <v>1791.1242676096001</v>
      </c>
      <c r="AF22" s="5">
        <v>2174.9366106687999</v>
      </c>
      <c r="AG22" s="6">
        <v>3742.1703448271901</v>
      </c>
      <c r="AH22" s="6">
        <v>5597.2633362799997</v>
      </c>
      <c r="AI22" s="5">
        <v>7516.3250515760001</v>
      </c>
      <c r="AJ22" s="5">
        <v>8587.8011759496003</v>
      </c>
      <c r="AK22" s="6">
        <v>11034.604862951999</v>
      </c>
      <c r="AL22" s="6">
        <v>13609.345997640799</v>
      </c>
      <c r="AM22" s="6">
        <v>16344.0089419376</v>
      </c>
      <c r="AN22" s="5">
        <v>18582.914276449599</v>
      </c>
      <c r="AO22" s="5">
        <v>19670.382581784001</v>
      </c>
      <c r="AP22" s="6">
        <v>16088.134046564701</v>
      </c>
      <c r="AQ22" s="6">
        <v>29457.5973297936</v>
      </c>
      <c r="AR22" s="2">
        <f t="shared" si="0"/>
        <v>18998.710981430377</v>
      </c>
    </row>
    <row r="23" spans="1:57" x14ac:dyDescent="0.25">
      <c r="A23">
        <v>2015</v>
      </c>
      <c r="B23" s="14">
        <v>53314.600781589601</v>
      </c>
      <c r="C23" s="6">
        <v>95.966281406861199</v>
      </c>
      <c r="D23" s="6">
        <v>314.55614461137799</v>
      </c>
      <c r="E23" s="6">
        <v>554.47184812853095</v>
      </c>
      <c r="F23" s="6">
        <v>239.91570351715299</v>
      </c>
      <c r="G23" s="6">
        <v>303.89322445506002</v>
      </c>
      <c r="H23" s="6">
        <v>389.19658570560398</v>
      </c>
      <c r="I23" s="6">
        <v>597.12352875380304</v>
      </c>
      <c r="J23" s="6">
        <v>725.07857062961796</v>
      </c>
      <c r="K23" s="6">
        <v>1247.5616582891901</v>
      </c>
      <c r="L23" s="6">
        <v>1866.0110273556299</v>
      </c>
      <c r="M23" s="6">
        <v>2505.7862367347102</v>
      </c>
      <c r="N23" s="6">
        <v>2862.9940619713602</v>
      </c>
      <c r="O23" s="6">
        <v>3678.70745392968</v>
      </c>
      <c r="P23" s="6">
        <v>4537.0725265132696</v>
      </c>
      <c r="Q23" s="6">
        <v>5448.7521998784496</v>
      </c>
      <c r="R23" s="6">
        <v>6195.1566108207098</v>
      </c>
      <c r="S23" s="6">
        <v>6557.6958961355203</v>
      </c>
      <c r="T23" s="6">
        <v>5363.4488386279099</v>
      </c>
      <c r="U23" s="6">
        <v>9820.5494639688004</v>
      </c>
      <c r="V23" s="2">
        <f t="shared" si="1"/>
        <v>53303.937861433238</v>
      </c>
      <c r="X23" s="8">
        <v>204878.70589799999</v>
      </c>
      <c r="Y23" s="5">
        <v>368.78167061639999</v>
      </c>
      <c r="Z23" s="5">
        <v>1208.7843647981999</v>
      </c>
      <c r="AA23" s="5">
        <v>2130.7385413391999</v>
      </c>
      <c r="AB23" s="5">
        <v>921.95417654100004</v>
      </c>
      <c r="AC23" s="6">
        <v>1167.80862361859</v>
      </c>
      <c r="AD23" s="5">
        <v>1495.6145530553999</v>
      </c>
      <c r="AE23" s="6">
        <v>2294.6415060576001</v>
      </c>
      <c r="AF23" s="6">
        <v>2786.3504002127902</v>
      </c>
      <c r="AG23" s="5">
        <v>4794.1617180131998</v>
      </c>
      <c r="AH23" s="6">
        <v>7170.7547064299997</v>
      </c>
      <c r="AI23" s="5">
        <v>9629.2991772059995</v>
      </c>
      <c r="AJ23" s="5">
        <v>11001.9865067226</v>
      </c>
      <c r="AK23" s="6">
        <v>14136.630706962</v>
      </c>
      <c r="AL23" s="5">
        <v>17435.177871919801</v>
      </c>
      <c r="AM23" s="6">
        <v>20938.603742775598</v>
      </c>
      <c r="AN23" s="6">
        <v>23806.905625347499</v>
      </c>
      <c r="AO23" s="6">
        <v>25200.080825453999</v>
      </c>
      <c r="AP23" s="5">
        <v>20610.797813338799</v>
      </c>
      <c r="AQ23" s="5">
        <v>37738.657626411601</v>
      </c>
      <c r="AR23" s="2">
        <f t="shared" si="0"/>
        <v>24339.59026068238</v>
      </c>
    </row>
    <row r="24" spans="1:57" x14ac:dyDescent="0.25">
      <c r="A24">
        <v>2016</v>
      </c>
      <c r="B24" s="15">
        <v>53349.508941936299</v>
      </c>
      <c r="C24" s="6">
        <v>96.029116095485406</v>
      </c>
      <c r="D24" s="6">
        <v>314.76210275742397</v>
      </c>
      <c r="E24" s="6">
        <v>554.83489299613802</v>
      </c>
      <c r="F24" s="6">
        <v>240.072790238713</v>
      </c>
      <c r="G24" s="6">
        <v>304.09220096903698</v>
      </c>
      <c r="H24" s="6">
        <v>389.45141527613498</v>
      </c>
      <c r="I24" s="6">
        <v>597.51450014968702</v>
      </c>
      <c r="J24" s="6">
        <v>725.55332161033402</v>
      </c>
      <c r="K24" s="6">
        <v>1248.37850924131</v>
      </c>
      <c r="L24" s="6">
        <v>1867.2328129677701</v>
      </c>
      <c r="M24" s="5">
        <v>2507.4269202710102</v>
      </c>
      <c r="N24" s="6">
        <v>2864.8686301819798</v>
      </c>
      <c r="O24" s="6">
        <v>3681.1161169936099</v>
      </c>
      <c r="P24" s="6">
        <v>4540.04321095878</v>
      </c>
      <c r="Q24" s="6">
        <v>5452.31981386589</v>
      </c>
      <c r="R24" s="6">
        <v>6199.2129390529999</v>
      </c>
      <c r="S24" s="6">
        <v>6561.9895998581696</v>
      </c>
      <c r="T24" s="6">
        <v>5366.9605995587999</v>
      </c>
      <c r="U24" s="6">
        <v>9826.97954710468</v>
      </c>
      <c r="V24" s="2">
        <f t="shared" si="1"/>
        <v>53338.839040147948</v>
      </c>
      <c r="X24" s="7">
        <v>273169.48777800001</v>
      </c>
      <c r="Y24" s="5">
        <v>491.70507800040002</v>
      </c>
      <c r="Z24" s="5">
        <v>1611.6999778902</v>
      </c>
      <c r="AA24" s="5">
        <v>2840.9626728911999</v>
      </c>
      <c r="AB24" s="5">
        <v>1229.2626950010001</v>
      </c>
      <c r="AC24" s="6">
        <v>1557.06608033459</v>
      </c>
      <c r="AD24" s="6">
        <v>1994.1372607793901</v>
      </c>
      <c r="AE24" s="6">
        <v>3059.4982631135999</v>
      </c>
      <c r="AF24" s="6">
        <v>3715.1050337807901</v>
      </c>
      <c r="AG24" s="6">
        <v>6392.1660140051899</v>
      </c>
      <c r="AH24" s="5">
        <v>9560.9320722299999</v>
      </c>
      <c r="AI24" s="6">
        <v>12838.965925565901</v>
      </c>
      <c r="AJ24" s="5">
        <v>14669.2014936786</v>
      </c>
      <c r="AK24" s="5">
        <v>18848.694656682001</v>
      </c>
      <c r="AL24" s="5">
        <v>23246.723409907801</v>
      </c>
      <c r="AM24" s="5">
        <v>27917.921650911601</v>
      </c>
      <c r="AN24" s="6">
        <v>31742.294479803499</v>
      </c>
      <c r="AO24" s="5">
        <v>33599.846996694003</v>
      </c>
      <c r="AP24" s="6">
        <v>27480.850470466699</v>
      </c>
      <c r="AQ24" s="5">
        <v>50317.819648707598</v>
      </c>
      <c r="AR24" s="2">
        <f t="shared" si="0"/>
        <v>32452.53514802636</v>
      </c>
    </row>
    <row r="25" spans="1:57" x14ac:dyDescent="0.25">
      <c r="A25">
        <v>2017</v>
      </c>
      <c r="B25" s="15">
        <v>53463.955815184097</v>
      </c>
      <c r="C25" s="6">
        <v>96.235120467331399</v>
      </c>
      <c r="D25" s="6">
        <v>315.43733930958598</v>
      </c>
      <c r="E25" s="5">
        <v>556.02514047791499</v>
      </c>
      <c r="F25" s="6">
        <v>240.58780116832801</v>
      </c>
      <c r="G25" s="6">
        <v>304.74454814654899</v>
      </c>
      <c r="H25" s="6">
        <v>390.28687745084397</v>
      </c>
      <c r="I25" s="6">
        <v>598.79630513006202</v>
      </c>
      <c r="J25" s="6">
        <v>727.10979908650404</v>
      </c>
      <c r="K25" s="6">
        <v>1251.0565660753</v>
      </c>
      <c r="L25" s="6">
        <v>1871.23845353144</v>
      </c>
      <c r="M25" s="6">
        <v>2512.8059233136501</v>
      </c>
      <c r="N25" s="6">
        <v>2871.0144272753801</v>
      </c>
      <c r="O25" s="6">
        <v>3689.0129512477001</v>
      </c>
      <c r="P25" s="6">
        <v>4549.78263987216</v>
      </c>
      <c r="Q25" s="6">
        <v>5464.0162843118096</v>
      </c>
      <c r="R25" s="6">
        <v>6212.5116657243898</v>
      </c>
      <c r="S25" s="6">
        <v>6576.0665652676398</v>
      </c>
      <c r="T25" s="6">
        <v>5378.4739550075201</v>
      </c>
      <c r="U25" s="6">
        <v>9848.0606611569092</v>
      </c>
      <c r="V25" s="2">
        <f t="shared" si="1"/>
        <v>53453.263024021013</v>
      </c>
      <c r="X25" s="7">
        <v>364865.14633800002</v>
      </c>
      <c r="Y25" s="5">
        <v>656.75726340840004</v>
      </c>
      <c r="Z25" s="5">
        <v>2152.7043633941998</v>
      </c>
      <c r="AA25" s="6">
        <v>3794.5975219151901</v>
      </c>
      <c r="AB25" s="5">
        <v>1641.893158521</v>
      </c>
      <c r="AC25" s="5">
        <v>2079.7313341265999</v>
      </c>
      <c r="AD25" s="5">
        <v>2663.5155682673999</v>
      </c>
      <c r="AE25" s="6">
        <v>4086.4896389855999</v>
      </c>
      <c r="AF25" s="5">
        <v>4962.1659901967996</v>
      </c>
      <c r="AG25" s="6">
        <v>8537.8444243091908</v>
      </c>
      <c r="AH25" s="6">
        <v>12770.280121829999</v>
      </c>
      <c r="AI25" s="5">
        <v>17148.661877885999</v>
      </c>
      <c r="AJ25" s="5">
        <v>19593.258358350598</v>
      </c>
      <c r="AK25" s="5">
        <v>25175.695097322001</v>
      </c>
      <c r="AL25" s="5">
        <v>31050.023953363801</v>
      </c>
      <c r="AM25" s="5">
        <v>37289.217955743603</v>
      </c>
      <c r="AN25" s="6">
        <v>42397.330004475501</v>
      </c>
      <c r="AO25" s="5">
        <v>44878.412999574</v>
      </c>
      <c r="AP25" s="5">
        <v>36705.4337216028</v>
      </c>
      <c r="AQ25" s="5">
        <v>67208.159955459603</v>
      </c>
      <c r="AR25" s="2">
        <f t="shared" si="0"/>
        <v>43345.979384954378</v>
      </c>
    </row>
    <row r="26" spans="1:57" x14ac:dyDescent="0.25">
      <c r="A26">
        <v>2018</v>
      </c>
      <c r="B26" s="15">
        <v>53801.405206375101</v>
      </c>
      <c r="C26" s="6">
        <v>96.842529371475194</v>
      </c>
      <c r="D26" s="6">
        <v>317.42829071761298</v>
      </c>
      <c r="E26" s="6">
        <v>559.53461414630101</v>
      </c>
      <c r="F26" s="6">
        <v>242.106323428688</v>
      </c>
      <c r="G26" s="6">
        <v>306.66800967633799</v>
      </c>
      <c r="H26" s="6">
        <v>392.75025800653799</v>
      </c>
      <c r="I26" s="6">
        <v>602.57573831140098</v>
      </c>
      <c r="J26" s="5">
        <v>731.69911080670204</v>
      </c>
      <c r="K26" s="6">
        <v>1258.9528818291701</v>
      </c>
      <c r="L26" s="6">
        <v>1883.0491822231299</v>
      </c>
      <c r="M26" s="6">
        <v>2528.6660446996302</v>
      </c>
      <c r="N26" s="6">
        <v>2889.13545958234</v>
      </c>
      <c r="O26" s="6">
        <v>3712.2969592398799</v>
      </c>
      <c r="P26" s="6">
        <v>4578.4995830625203</v>
      </c>
      <c r="Q26" s="5">
        <v>5498.5036120915402</v>
      </c>
      <c r="R26" s="6">
        <v>6251.7232849807897</v>
      </c>
      <c r="S26" s="6">
        <v>6617.5728403841404</v>
      </c>
      <c r="T26" s="6">
        <v>5412.4213637613402</v>
      </c>
      <c r="U26" s="6">
        <v>9910.2188390143001</v>
      </c>
      <c r="V26" s="2">
        <f t="shared" si="1"/>
        <v>53790.644925333836</v>
      </c>
      <c r="X26" s="7">
        <v>457211.52405800001</v>
      </c>
      <c r="Y26" s="5">
        <v>822.98074330439999</v>
      </c>
      <c r="Z26" s="6">
        <v>2697.54799194219</v>
      </c>
      <c r="AA26" s="6">
        <v>4754.9998502031904</v>
      </c>
      <c r="AB26" s="5">
        <v>2057.4518582609999</v>
      </c>
      <c r="AC26" s="5">
        <v>2606.1056871306</v>
      </c>
      <c r="AD26" s="6">
        <v>3337.6441256233902</v>
      </c>
      <c r="AE26" s="6">
        <v>5120.7690694495996</v>
      </c>
      <c r="AF26" s="5">
        <v>6218.0767271887999</v>
      </c>
      <c r="AG26" s="6">
        <v>10698.7496629571</v>
      </c>
      <c r="AH26" s="6">
        <v>16002.40334203</v>
      </c>
      <c r="AI26" s="5">
        <v>21488.941630726</v>
      </c>
      <c r="AJ26" s="6">
        <v>24552.258841914499</v>
      </c>
      <c r="AK26" s="5">
        <v>31547.595160002002</v>
      </c>
      <c r="AL26" s="5">
        <v>38908.7006973358</v>
      </c>
      <c r="AM26" s="6">
        <v>46727.017758727598</v>
      </c>
      <c r="AN26" s="6">
        <v>53127.9790955395</v>
      </c>
      <c r="AO26" s="6">
        <v>56237.017459133996</v>
      </c>
      <c r="AP26" s="5">
        <v>45995.479320234801</v>
      </c>
      <c r="AQ26" s="5">
        <v>84218.362731483605</v>
      </c>
      <c r="AR26" s="2">
        <f t="shared" si="0"/>
        <v>54316.729058090263</v>
      </c>
    </row>
    <row r="27" spans="1:57" x14ac:dyDescent="0.25">
      <c r="A27">
        <v>2019</v>
      </c>
      <c r="B27" s="15">
        <v>54712.4269468852</v>
      </c>
      <c r="C27" s="6">
        <v>98.482368504393406</v>
      </c>
      <c r="D27" s="6">
        <v>322.80331898662303</v>
      </c>
      <c r="E27" s="6">
        <v>569.00924024760604</v>
      </c>
      <c r="F27" s="6">
        <v>246.20592126098299</v>
      </c>
      <c r="G27" s="6">
        <v>311.860833597245</v>
      </c>
      <c r="H27" s="6">
        <v>399.40071671226201</v>
      </c>
      <c r="I27" s="5">
        <v>612.77918180511494</v>
      </c>
      <c r="J27" s="6">
        <v>744.08900647763903</v>
      </c>
      <c r="K27" s="6">
        <v>1280.2707905571101</v>
      </c>
      <c r="L27" s="6">
        <v>1914.9349431409801</v>
      </c>
      <c r="M27" s="6">
        <v>2571.4840665035999</v>
      </c>
      <c r="N27" s="6">
        <v>2938.0573270477298</v>
      </c>
      <c r="O27" s="6">
        <v>3775.1574593350801</v>
      </c>
      <c r="P27" s="6">
        <v>4656.0275331799303</v>
      </c>
      <c r="Q27" s="6">
        <v>5591.6100339716704</v>
      </c>
      <c r="R27" s="6">
        <v>6357.5840112280603</v>
      </c>
      <c r="S27" s="6">
        <v>6729.62851446688</v>
      </c>
      <c r="T27" s="6">
        <v>5504.0701508566599</v>
      </c>
      <c r="U27" s="6">
        <v>10078.029043616199</v>
      </c>
      <c r="V27" s="2">
        <f t="shared" si="1"/>
        <v>54701.484461495769</v>
      </c>
      <c r="X27" s="7">
        <v>554282.96984799998</v>
      </c>
      <c r="Y27" s="5">
        <v>997.70934572639999</v>
      </c>
      <c r="Z27" s="6">
        <v>3270.26952210319</v>
      </c>
      <c r="AA27" s="5">
        <v>5764.5428864191999</v>
      </c>
      <c r="AB27" s="5">
        <v>2494.273364316</v>
      </c>
      <c r="AC27" s="5">
        <v>3159.4129281336</v>
      </c>
      <c r="AD27" s="5">
        <v>4046.2656798904</v>
      </c>
      <c r="AE27" s="6">
        <v>6207.9692622975999</v>
      </c>
      <c r="AF27" s="5">
        <v>7538.2483899327999</v>
      </c>
      <c r="AG27" s="6">
        <v>12970.2214944431</v>
      </c>
      <c r="AH27" s="5">
        <v>19399.903944680002</v>
      </c>
      <c r="AI27" s="5">
        <v>26051.299582856002</v>
      </c>
      <c r="AJ27" s="5">
        <v>29764.995480837599</v>
      </c>
      <c r="AK27" s="6">
        <v>38245.524919511998</v>
      </c>
      <c r="AL27" s="5">
        <v>47169.480734064797</v>
      </c>
      <c r="AM27" s="6">
        <v>56647.719518465601</v>
      </c>
      <c r="AN27" s="5">
        <v>64407.681096337597</v>
      </c>
      <c r="AO27" s="5">
        <v>68176.805291304001</v>
      </c>
      <c r="AP27" s="5">
        <v>55760.866766708801</v>
      </c>
      <c r="AQ27" s="6">
        <v>102098.923046001</v>
      </c>
      <c r="AR27" s="2">
        <f t="shared" si="0"/>
        <v>65848.816817942294</v>
      </c>
    </row>
    <row r="28" spans="1:57" x14ac:dyDescent="0.25">
      <c r="A28" s="11">
        <v>2020</v>
      </c>
      <c r="B28" s="15">
        <v>77440.727866581903</v>
      </c>
      <c r="C28" s="6">
        <v>139.393310159847</v>
      </c>
      <c r="D28" s="6">
        <v>456.90029441283298</v>
      </c>
      <c r="E28" s="6">
        <v>805.38356981245204</v>
      </c>
      <c r="F28" s="6">
        <v>348.48327539961798</v>
      </c>
      <c r="G28" s="6">
        <v>441.41214883951699</v>
      </c>
      <c r="H28" s="6">
        <v>565.31731342604803</v>
      </c>
      <c r="I28" s="6">
        <v>867.33615210571702</v>
      </c>
      <c r="J28" s="6">
        <v>1053.19389898551</v>
      </c>
      <c r="K28" s="6">
        <v>1812.1130320780101</v>
      </c>
      <c r="L28" s="6">
        <v>2710.4254753303599</v>
      </c>
      <c r="M28" s="6">
        <v>3639.7142097293499</v>
      </c>
      <c r="N28" s="5">
        <v>4158.5670864354497</v>
      </c>
      <c r="O28" s="6">
        <v>5343.4102227941503</v>
      </c>
      <c r="P28" s="6">
        <v>6590.2059414461201</v>
      </c>
      <c r="Q28" s="6">
        <v>7914.4423879646702</v>
      </c>
      <c r="R28" s="6">
        <v>8998.6125780968196</v>
      </c>
      <c r="S28" s="5">
        <v>9525.2095275895808</v>
      </c>
      <c r="T28" s="6">
        <v>7790.53722337814</v>
      </c>
      <c r="U28" s="6">
        <v>14264.582073024299</v>
      </c>
      <c r="V28" s="2">
        <f t="shared" si="1"/>
        <v>77425.239721008489</v>
      </c>
      <c r="X28" s="7">
        <v>655222.96984799998</v>
      </c>
      <c r="Y28" s="5">
        <v>1179.4013457264</v>
      </c>
      <c r="Z28" s="6">
        <v>3865.8155221031898</v>
      </c>
      <c r="AA28" s="5">
        <v>6814.3188864191998</v>
      </c>
      <c r="AB28" s="5">
        <v>2948.503364316</v>
      </c>
      <c r="AC28" s="5">
        <v>3734.7709281336001</v>
      </c>
      <c r="AD28" s="5">
        <v>4783.1276798904</v>
      </c>
      <c r="AE28" s="6">
        <v>7338.4972622976002</v>
      </c>
      <c r="AF28" s="5">
        <v>8911.0323899327996</v>
      </c>
      <c r="AG28" s="6">
        <v>15332.217494443101</v>
      </c>
      <c r="AH28" s="6">
        <v>22932.803944679999</v>
      </c>
      <c r="AI28" s="5">
        <v>30795.479582856002</v>
      </c>
      <c r="AJ28" s="5">
        <v>35185.473480837602</v>
      </c>
      <c r="AK28" s="6">
        <v>45210.384919511998</v>
      </c>
      <c r="AL28" s="6">
        <v>55759.474734064701</v>
      </c>
      <c r="AM28" s="5">
        <v>66963.7875184656</v>
      </c>
      <c r="AN28" s="5">
        <v>76136.909096337593</v>
      </c>
      <c r="AO28" s="5">
        <v>80592.425291303996</v>
      </c>
      <c r="AP28" s="5">
        <v>65915.4307667088</v>
      </c>
      <c r="AQ28" s="6">
        <v>120692.071046001</v>
      </c>
      <c r="AR28" s="2">
        <f>SUM(Y28:AH28)</f>
        <v>77840.488817942285</v>
      </c>
    </row>
    <row r="29" spans="1:57" x14ac:dyDescent="0.25">
      <c r="A29">
        <v>2021</v>
      </c>
      <c r="B29" s="15">
        <v>101320.464013476</v>
      </c>
      <c r="C29" s="6">
        <v>182.37683522425701</v>
      </c>
      <c r="D29" s="6">
        <v>597.79073767951104</v>
      </c>
      <c r="E29" s="6">
        <v>1053.73282574015</v>
      </c>
      <c r="F29" s="6">
        <v>455.94208806064398</v>
      </c>
      <c r="G29" s="6">
        <v>577.52664487681602</v>
      </c>
      <c r="H29" s="6">
        <v>739.63938729837798</v>
      </c>
      <c r="I29" s="6">
        <v>1134.7891969509301</v>
      </c>
      <c r="J29" s="6">
        <v>1377.9583105832801</v>
      </c>
      <c r="K29" s="6">
        <v>2370.8988579153502</v>
      </c>
      <c r="L29" s="6">
        <v>3546.2162404716701</v>
      </c>
      <c r="M29" s="6">
        <v>4762.0618086333898</v>
      </c>
      <c r="N29" s="6">
        <v>5440.9089175236804</v>
      </c>
      <c r="O29" s="6">
        <v>6991.1120169298802</v>
      </c>
      <c r="P29" s="6">
        <v>8622.3714875468504</v>
      </c>
      <c r="Q29" s="6">
        <v>10354.951422177301</v>
      </c>
      <c r="R29" s="6">
        <v>11773.4379183659</v>
      </c>
      <c r="S29" s="6">
        <v>12462.4170736576</v>
      </c>
      <c r="T29" s="6">
        <v>10192.8386797557</v>
      </c>
      <c r="U29" s="6">
        <v>18663.229471282299</v>
      </c>
      <c r="V29" s="2">
        <f t="shared" si="1"/>
        <v>101300.19992067359</v>
      </c>
      <c r="X29" s="7">
        <v>765146.96984799998</v>
      </c>
      <c r="Y29" s="5">
        <v>1377.2645457264</v>
      </c>
      <c r="Z29" s="6">
        <v>4514.36712210319</v>
      </c>
      <c r="AA29" s="5">
        <v>7957.5284864191999</v>
      </c>
      <c r="AB29" s="5">
        <v>3443.1613643159999</v>
      </c>
      <c r="AC29" s="5">
        <v>4361.3377281335997</v>
      </c>
      <c r="AD29" s="5">
        <v>5585.5728798904001</v>
      </c>
      <c r="AE29" s="6">
        <v>8569.6460622975992</v>
      </c>
      <c r="AF29" s="6">
        <v>10405.998789932701</v>
      </c>
      <c r="AG29" s="6">
        <v>17904.4390944431</v>
      </c>
      <c r="AH29" s="6">
        <v>26780.14394468</v>
      </c>
      <c r="AI29" s="5">
        <v>35961.907582856002</v>
      </c>
      <c r="AJ29" s="5">
        <v>41088.392280837601</v>
      </c>
      <c r="AK29" s="6">
        <v>52795.140919512</v>
      </c>
      <c r="AL29" s="5">
        <v>65114.007134064799</v>
      </c>
      <c r="AM29" s="5">
        <v>78198.020318465598</v>
      </c>
      <c r="AN29" s="6">
        <v>88910.077896337505</v>
      </c>
      <c r="AO29" s="5">
        <v>94113.077291303998</v>
      </c>
      <c r="AP29" s="5">
        <v>76973.785166708796</v>
      </c>
      <c r="AQ29" s="6">
        <v>140940.071846001</v>
      </c>
      <c r="AR29" s="2">
        <f t="shared" si="0"/>
        <v>90899.460017942183</v>
      </c>
    </row>
    <row r="30" spans="1:57" x14ac:dyDescent="0.25">
      <c r="A30">
        <v>2022</v>
      </c>
      <c r="B30" s="15">
        <v>131821.90777715101</v>
      </c>
      <c r="C30" s="6">
        <v>10168.938051547901</v>
      </c>
      <c r="D30" s="6">
        <v>777.74925588519397</v>
      </c>
      <c r="E30" s="6">
        <v>1370.94784088237</v>
      </c>
      <c r="F30" s="6">
        <v>593.19858499718202</v>
      </c>
      <c r="G30" s="6">
        <v>751.38487432976399</v>
      </c>
      <c r="H30" s="6">
        <v>962.29992677320604</v>
      </c>
      <c r="I30" s="6">
        <v>1476.4053671040899</v>
      </c>
      <c r="J30" s="6">
        <v>1792.77794576926</v>
      </c>
      <c r="K30" s="6">
        <v>3084.6326419853399</v>
      </c>
      <c r="L30" s="6">
        <v>4613.7667722002998</v>
      </c>
      <c r="M30" s="6">
        <v>6195.6296655261203</v>
      </c>
      <c r="N30" s="6">
        <v>7078.8364476330398</v>
      </c>
      <c r="O30" s="6">
        <v>9095.7116366234604</v>
      </c>
      <c r="P30" s="5">
        <v>11218.044351835601</v>
      </c>
      <c r="Q30" s="6">
        <v>13472.1989748248</v>
      </c>
      <c r="R30" s="6">
        <v>15317.705683705</v>
      </c>
      <c r="S30" s="6">
        <v>16214.094656589599</v>
      </c>
      <c r="T30" s="6">
        <v>13261.283922381401</v>
      </c>
      <c r="U30" s="6">
        <v>24281.595412551302</v>
      </c>
      <c r="V30" s="2">
        <f t="shared" si="1"/>
        <v>141727.20201314494</v>
      </c>
      <c r="X30" s="7">
        <v>884853.96984799998</v>
      </c>
      <c r="Y30" s="5">
        <v>1592.7371457264001</v>
      </c>
      <c r="Z30" s="6">
        <v>5220.6384221031904</v>
      </c>
      <c r="AA30" s="6">
        <v>9202.4812864191899</v>
      </c>
      <c r="AB30" s="5">
        <v>3981.842864316</v>
      </c>
      <c r="AC30" s="6">
        <v>5043.6676281335904</v>
      </c>
      <c r="AD30" s="5">
        <v>6459.4339798904002</v>
      </c>
      <c r="AE30" s="6">
        <v>9910.3644622976008</v>
      </c>
      <c r="AF30" s="6">
        <v>12034.0139899327</v>
      </c>
      <c r="AG30" s="5">
        <v>20705.5828944432</v>
      </c>
      <c r="AH30" s="6">
        <v>30969.888944679999</v>
      </c>
      <c r="AI30" s="5">
        <v>41588.136582856001</v>
      </c>
      <c r="AJ30" s="5">
        <v>47516.6581808376</v>
      </c>
      <c r="AK30" s="6">
        <v>61054.923919512003</v>
      </c>
      <c r="AL30" s="5">
        <v>75301.072834064806</v>
      </c>
      <c r="AM30" s="5">
        <v>90432.075718465596</v>
      </c>
      <c r="AN30" s="6">
        <v>102820.03129633699</v>
      </c>
      <c r="AO30" s="5">
        <v>108837.03829130399</v>
      </c>
      <c r="AP30" s="5">
        <v>89016.309366708796</v>
      </c>
      <c r="AQ30" s="6">
        <v>162990.101246001</v>
      </c>
      <c r="AR30" s="2">
        <f t="shared" si="0"/>
        <v>105120.65161794228</v>
      </c>
    </row>
    <row r="31" spans="1:57" x14ac:dyDescent="0.25">
      <c r="A31">
        <v>2023</v>
      </c>
      <c r="B31" s="15">
        <v>178890.57575016801</v>
      </c>
      <c r="C31" s="6">
        <v>19893.052343789299</v>
      </c>
      <c r="D31" s="6">
        <v>33609.224309995203</v>
      </c>
      <c r="E31" s="6">
        <v>1860.46198780175</v>
      </c>
      <c r="F31" s="6">
        <v>805.00759087575898</v>
      </c>
      <c r="G31" s="6">
        <v>1019.67628177596</v>
      </c>
      <c r="H31" s="6">
        <v>1305.90120297623</v>
      </c>
      <c r="I31" s="6">
        <v>2003.5744484018901</v>
      </c>
      <c r="J31" s="6">
        <v>2432.9118302022898</v>
      </c>
      <c r="K31" s="5">
        <v>4186.03947255395</v>
      </c>
      <c r="L31" s="6">
        <v>6261.1701512559002</v>
      </c>
      <c r="M31" s="6">
        <v>8407.8570602579293</v>
      </c>
      <c r="N31" s="6">
        <v>9606.4239177840609</v>
      </c>
      <c r="O31" s="6">
        <v>12343.449726761601</v>
      </c>
      <c r="P31" s="6">
        <v>15223.5879963393</v>
      </c>
      <c r="Q31" s="6">
        <v>18282.616841667201</v>
      </c>
      <c r="R31" s="6">
        <v>20787.084902169601</v>
      </c>
      <c r="S31" s="6">
        <v>22003.540817270699</v>
      </c>
      <c r="T31" s="6">
        <v>17996.3919204669</v>
      </c>
      <c r="U31" s="5">
        <v>32951.644053181102</v>
      </c>
      <c r="V31" s="2">
        <f t="shared" si="1"/>
        <v>230979.6168555266</v>
      </c>
      <c r="X31" s="7">
        <v>1015214.969848</v>
      </c>
      <c r="Y31" s="5">
        <v>1827.3869457264</v>
      </c>
      <c r="Z31" s="6">
        <v>5989.7683221031903</v>
      </c>
      <c r="AA31" s="6">
        <v>10558.235686419101</v>
      </c>
      <c r="AB31" s="5">
        <v>4568.4673643160004</v>
      </c>
      <c r="AC31" s="5">
        <v>5786.7253281335998</v>
      </c>
      <c r="AD31" s="5">
        <v>7411.0692798904001</v>
      </c>
      <c r="AE31" s="6">
        <v>11370.407662297601</v>
      </c>
      <c r="AF31" s="5">
        <v>13806.9235899328</v>
      </c>
      <c r="AG31" s="5">
        <v>23756.030294443201</v>
      </c>
      <c r="AH31" s="6">
        <v>35532.523944679997</v>
      </c>
      <c r="AI31" s="5">
        <v>47715.103582855998</v>
      </c>
      <c r="AJ31" s="5">
        <v>54517.043880837598</v>
      </c>
      <c r="AK31" s="6">
        <v>70049.832919512002</v>
      </c>
      <c r="AL31" s="5">
        <v>86394.793934064801</v>
      </c>
      <c r="AM31" s="6">
        <v>103754.96991846499</v>
      </c>
      <c r="AN31" s="6">
        <v>117967.97949633699</v>
      </c>
      <c r="AO31" s="5">
        <v>124871.441291304</v>
      </c>
      <c r="AP31" s="6">
        <v>102130.625966708</v>
      </c>
      <c r="AQ31" s="6">
        <v>187002.59744600099</v>
      </c>
      <c r="AR31" s="2">
        <f t="shared" si="0"/>
        <v>120607.53841794228</v>
      </c>
    </row>
    <row r="32" spans="1:57" x14ac:dyDescent="0.25">
      <c r="A32">
        <v>2024</v>
      </c>
      <c r="B32" s="15">
        <v>270794.203435948</v>
      </c>
      <c r="C32" s="5">
        <v>29922.673630700199</v>
      </c>
      <c r="D32" s="6">
        <v>65747.236307882107</v>
      </c>
      <c r="E32" s="6">
        <v>60199.176172481297</v>
      </c>
      <c r="F32" s="6">
        <v>26047.720459246699</v>
      </c>
      <c r="G32" s="6">
        <v>1543.5269595848999</v>
      </c>
      <c r="H32" s="6">
        <v>1976.79768508242</v>
      </c>
      <c r="I32" s="6">
        <v>3032.8950784826202</v>
      </c>
      <c r="J32" s="6">
        <v>3682.8011667289002</v>
      </c>
      <c r="K32" s="6">
        <v>6336.5843604011998</v>
      </c>
      <c r="L32" s="6">
        <v>9477.7971202581994</v>
      </c>
      <c r="M32" s="6">
        <v>12727.327561489499</v>
      </c>
      <c r="N32" s="6">
        <v>14541.6487245104</v>
      </c>
      <c r="O32" s="6">
        <v>18684.8000370804</v>
      </c>
      <c r="P32" s="6">
        <v>23044.586712399199</v>
      </c>
      <c r="Q32" s="6">
        <v>27675.167591153899</v>
      </c>
      <c r="R32" s="6">
        <v>31466.286439257201</v>
      </c>
      <c r="S32" s="6">
        <v>33307.6870226217</v>
      </c>
      <c r="T32" s="6">
        <v>27241.896865656399</v>
      </c>
      <c r="U32" s="6">
        <v>49880.292272901701</v>
      </c>
      <c r="V32" s="2">
        <f t="shared" si="1"/>
        <v>446536.90216791892</v>
      </c>
      <c r="X32" s="7">
        <v>1157177.969848</v>
      </c>
      <c r="Y32" s="5">
        <v>2082.9203457263998</v>
      </c>
      <c r="Z32" s="6">
        <v>6827.35002210319</v>
      </c>
      <c r="AA32" s="6">
        <v>12034.6508864191</v>
      </c>
      <c r="AB32" s="5">
        <v>5207.3008643160001</v>
      </c>
      <c r="AC32" s="6">
        <v>6595.9144281335903</v>
      </c>
      <c r="AD32" s="5">
        <v>8447.3991798904008</v>
      </c>
      <c r="AE32" s="6">
        <v>12960.393262297601</v>
      </c>
      <c r="AF32" s="5">
        <v>15737.620389932799</v>
      </c>
      <c r="AG32" s="5">
        <v>27077.9644944432</v>
      </c>
      <c r="AH32" s="6">
        <v>40501.228944679999</v>
      </c>
      <c r="AI32" s="5">
        <v>54387.364582855997</v>
      </c>
      <c r="AJ32" s="6">
        <v>62140.456980837502</v>
      </c>
      <c r="AK32" s="6">
        <v>79845.279919512002</v>
      </c>
      <c r="AL32" s="5">
        <v>98475.845234064793</v>
      </c>
      <c r="AM32" s="6">
        <v>118263.588518465</v>
      </c>
      <c r="AN32" s="6">
        <v>134464.08009633701</v>
      </c>
      <c r="AO32" s="5">
        <v>142332.89029130401</v>
      </c>
      <c r="AP32" s="6">
        <v>116412.10376670799</v>
      </c>
      <c r="AQ32" s="6">
        <v>213152.18204600099</v>
      </c>
      <c r="AR32" s="2">
        <f t="shared" si="0"/>
        <v>137472.74281794229</v>
      </c>
    </row>
    <row r="33" spans="1:44" x14ac:dyDescent="0.25">
      <c r="A33" s="11">
        <v>2025</v>
      </c>
      <c r="B33" s="15">
        <v>392758.95027053199</v>
      </c>
      <c r="C33" s="6">
        <v>40260.083075895498</v>
      </c>
      <c r="D33" s="6">
        <v>98799.466683742197</v>
      </c>
      <c r="E33" s="6">
        <v>117161.86685719799</v>
      </c>
      <c r="F33" s="6">
        <v>50695.038543979899</v>
      </c>
      <c r="G33" s="6">
        <v>33688.978304383701</v>
      </c>
      <c r="H33" s="6">
        <v>43145.5336178949</v>
      </c>
      <c r="I33" s="5">
        <v>4398.9002430299597</v>
      </c>
      <c r="J33" s="6">
        <v>5341.5217236792296</v>
      </c>
      <c r="K33" s="6">
        <v>9190.5594363304499</v>
      </c>
      <c r="L33" s="6">
        <v>13746.563259468599</v>
      </c>
      <c r="M33" s="6">
        <v>18459.670662715002</v>
      </c>
      <c r="N33" s="6">
        <v>21091.1556295275</v>
      </c>
      <c r="O33" s="6">
        <v>27100.367568666701</v>
      </c>
      <c r="P33" s="6">
        <v>33423.7866680222</v>
      </c>
      <c r="Q33" s="6">
        <v>40139.964717648298</v>
      </c>
      <c r="R33" s="6">
        <v>45638.590021435797</v>
      </c>
      <c r="S33" s="6">
        <v>48309.350883275401</v>
      </c>
      <c r="T33" s="6">
        <v>39511.550397215498</v>
      </c>
      <c r="U33" s="6">
        <v>72346.198639832</v>
      </c>
      <c r="V33" s="2">
        <f t="shared" si="1"/>
        <v>762449.14693394082</v>
      </c>
      <c r="X33" s="7">
        <v>1311775.969848</v>
      </c>
      <c r="Y33" s="5">
        <v>2361.1967457264</v>
      </c>
      <c r="Z33" s="6">
        <v>7739.4782221031901</v>
      </c>
      <c r="AA33" s="6">
        <v>13642.4700864191</v>
      </c>
      <c r="AB33" s="5">
        <v>5902.9918643159999</v>
      </c>
      <c r="AC33" s="6">
        <v>7477.1230281335902</v>
      </c>
      <c r="AD33" s="5">
        <v>9575.9645798904003</v>
      </c>
      <c r="AE33" s="6">
        <v>14691.8908622976</v>
      </c>
      <c r="AF33" s="5">
        <v>17840.1531899328</v>
      </c>
      <c r="AG33" s="5">
        <v>30695.5576944432</v>
      </c>
      <c r="AH33" s="6">
        <v>45912.158944679999</v>
      </c>
      <c r="AI33" s="6">
        <v>61653.470582855902</v>
      </c>
      <c r="AJ33" s="6">
        <v>70442.369580837505</v>
      </c>
      <c r="AK33" s="6">
        <v>90512.541919512005</v>
      </c>
      <c r="AL33" s="6">
        <v>111632.13503406401</v>
      </c>
      <c r="AM33" s="6">
        <v>134063.504118465</v>
      </c>
      <c r="AN33" s="6">
        <v>152428.36769633699</v>
      </c>
      <c r="AO33" s="5">
        <v>161348.44429130401</v>
      </c>
      <c r="AP33" s="6">
        <v>131964.66256670799</v>
      </c>
      <c r="AQ33" s="6">
        <v>241629.13364600099</v>
      </c>
      <c r="AR33" s="2">
        <f t="shared" si="0"/>
        <v>155838.98521794227</v>
      </c>
    </row>
    <row r="34" spans="1:44" x14ac:dyDescent="0.25">
      <c r="A34">
        <v>2026</v>
      </c>
      <c r="B34" s="15">
        <v>519655.75814375398</v>
      </c>
      <c r="C34" s="6">
        <v>51212.265557288098</v>
      </c>
      <c r="D34" s="6">
        <v>132712.29679712301</v>
      </c>
      <c r="E34" s="6">
        <v>175474.71891006301</v>
      </c>
      <c r="F34" s="6">
        <v>75926.561066854498</v>
      </c>
      <c r="G34" s="6">
        <v>64937.027287170502</v>
      </c>
      <c r="H34" s="6">
        <v>83164.964771288505</v>
      </c>
      <c r="I34" s="6">
        <v>67617.131429545698</v>
      </c>
      <c r="J34" s="6">
        <v>7067.3183107550503</v>
      </c>
      <c r="K34" s="6">
        <v>12159.9447405638</v>
      </c>
      <c r="L34" s="6">
        <v>18187.951535031301</v>
      </c>
      <c r="M34" s="6">
        <v>24423.8206327564</v>
      </c>
      <c r="N34" s="6">
        <v>27905.5142123195</v>
      </c>
      <c r="O34" s="6">
        <v>35856.247311919004</v>
      </c>
      <c r="P34" s="6">
        <v>44222.705018033397</v>
      </c>
      <c r="Q34" s="6">
        <v>53108.818482291601</v>
      </c>
      <c r="R34" s="6">
        <v>60383.9990963042</v>
      </c>
      <c r="S34" s="6">
        <v>63917.6582516817</v>
      </c>
      <c r="T34" s="6">
        <v>52277.369269261602</v>
      </c>
      <c r="U34" s="6">
        <v>95720.590650079495</v>
      </c>
      <c r="V34" s="2">
        <f t="shared" si="1"/>
        <v>1146276.9033303305</v>
      </c>
      <c r="X34" s="7">
        <v>1480132.969848</v>
      </c>
      <c r="Y34" s="6">
        <v>2664.2393457263902</v>
      </c>
      <c r="Z34" s="6">
        <v>8732.7845221031894</v>
      </c>
      <c r="AA34" s="6">
        <v>15393.3828864191</v>
      </c>
      <c r="AB34" s="5">
        <v>6660.5983643159998</v>
      </c>
      <c r="AC34" s="5">
        <v>8436.7579281336002</v>
      </c>
      <c r="AD34" s="5">
        <v>10804.970679890401</v>
      </c>
      <c r="AE34" s="6">
        <v>16577.4892622976</v>
      </c>
      <c r="AF34" s="5">
        <v>20129.808389932801</v>
      </c>
      <c r="AG34" s="5">
        <v>34635.111494443197</v>
      </c>
      <c r="AH34" s="6">
        <v>51804.653944680002</v>
      </c>
      <c r="AI34" s="6">
        <v>69566.249582855904</v>
      </c>
      <c r="AJ34" s="5">
        <v>79483.140480837596</v>
      </c>
      <c r="AK34" s="6">
        <v>102129.17491951201</v>
      </c>
      <c r="AL34" s="6">
        <v>125959.315734064</v>
      </c>
      <c r="AM34" s="6">
        <v>151269.58951846501</v>
      </c>
      <c r="AN34" s="6">
        <v>171991.451096337</v>
      </c>
      <c r="AO34" s="5">
        <v>182056.355291304</v>
      </c>
      <c r="AP34" s="6">
        <v>148901.37676670801</v>
      </c>
      <c r="AQ34" s="6">
        <v>272640.49304600101</v>
      </c>
      <c r="AR34" s="2">
        <f t="shared" si="0"/>
        <v>175839.79681794229</v>
      </c>
    </row>
    <row r="35" spans="1:44" x14ac:dyDescent="0.25">
      <c r="A35">
        <v>2027</v>
      </c>
      <c r="B35" s="14">
        <v>549677.47447462694</v>
      </c>
      <c r="C35" s="6">
        <v>63187.162215777898</v>
      </c>
      <c r="D35" s="6">
        <v>168039.554079667</v>
      </c>
      <c r="E35" s="6">
        <v>234245.765896267</v>
      </c>
      <c r="F35" s="5">
        <v>101356.341012808</v>
      </c>
      <c r="G35" s="6">
        <v>96344.767762458796</v>
      </c>
      <c r="H35" s="6">
        <v>123388.913099289</v>
      </c>
      <c r="I35" s="6">
        <v>127931.80553580201</v>
      </c>
      <c r="J35" s="6">
        <v>82514.811986293702</v>
      </c>
      <c r="K35" s="6">
        <v>12862.4529027062</v>
      </c>
      <c r="L35" s="6">
        <v>19238.711606611902</v>
      </c>
      <c r="M35" s="6">
        <v>25834.841300307398</v>
      </c>
      <c r="N35" s="6">
        <v>29517.680379287402</v>
      </c>
      <c r="O35" s="6">
        <v>37927.745738749203</v>
      </c>
      <c r="P35" s="6">
        <v>46777.553077790697</v>
      </c>
      <c r="Q35" s="6">
        <v>56177.037891306798</v>
      </c>
      <c r="R35" s="6">
        <v>63872.522533951596</v>
      </c>
      <c r="S35" s="6">
        <v>67610.329360379095</v>
      </c>
      <c r="T35" s="6">
        <v>55297.553932147399</v>
      </c>
      <c r="U35" s="6">
        <v>101250.590798226</v>
      </c>
      <c r="V35" s="2">
        <f t="shared" si="1"/>
        <v>1513376.141109827</v>
      </c>
      <c r="X35" s="7">
        <v>1663473.969848</v>
      </c>
      <c r="Y35" s="5">
        <v>2994.2531457263999</v>
      </c>
      <c r="Z35" s="6">
        <v>9814.4964221031896</v>
      </c>
      <c r="AA35" s="5">
        <v>17300.1292864192</v>
      </c>
      <c r="AB35" s="6">
        <v>7485.6328643159904</v>
      </c>
      <c r="AC35" s="5">
        <v>9481.8016281336004</v>
      </c>
      <c r="AD35" s="6">
        <v>12143.3599798904</v>
      </c>
      <c r="AE35" s="6">
        <v>18630.908462297601</v>
      </c>
      <c r="AF35" s="6">
        <v>22623.245989932799</v>
      </c>
      <c r="AG35" s="5">
        <v>38925.290894443198</v>
      </c>
      <c r="AH35" s="6">
        <v>58221.588944679999</v>
      </c>
      <c r="AI35" s="5">
        <v>78183.276582855993</v>
      </c>
      <c r="AJ35" s="6">
        <v>89328.552180837505</v>
      </c>
      <c r="AK35" s="6">
        <v>114779.703919512</v>
      </c>
      <c r="AL35" s="6">
        <v>141561.634834064</v>
      </c>
      <c r="AM35" s="6">
        <v>170007.03971846501</v>
      </c>
      <c r="AN35" s="6">
        <v>193295.67529633699</v>
      </c>
      <c r="AO35" s="5">
        <v>204607.298291304</v>
      </c>
      <c r="AP35" s="6">
        <v>167345.481366708</v>
      </c>
      <c r="AQ35" s="6">
        <v>306411.90524600103</v>
      </c>
      <c r="AR35" s="2">
        <f t="shared" si="0"/>
        <v>197620.70761794239</v>
      </c>
    </row>
    <row r="36" spans="1:44" x14ac:dyDescent="0.25">
      <c r="A36">
        <v>2028</v>
      </c>
      <c r="B36" s="15">
        <v>753241.081751953</v>
      </c>
      <c r="C36" s="6">
        <v>76225.157779873407</v>
      </c>
      <c r="D36" s="6">
        <v>208314.50124119999</v>
      </c>
      <c r="E36" s="6">
        <v>298322.37684054102</v>
      </c>
      <c r="F36" s="6">
        <v>129081.79767138801</v>
      </c>
      <c r="G36" s="6">
        <v>129545.010990829</v>
      </c>
      <c r="H36" s="6">
        <v>165908.52284790299</v>
      </c>
      <c r="I36" s="6">
        <v>191588.92939240299</v>
      </c>
      <c r="J36" s="6">
        <v>158114.22847834101</v>
      </c>
      <c r="K36" s="6">
        <v>146737.40239123299</v>
      </c>
      <c r="L36" s="6">
        <v>26363.4378613183</v>
      </c>
      <c r="M36" s="6">
        <v>35402.330842341798</v>
      </c>
      <c r="N36" s="6">
        <v>40449.046090079901</v>
      </c>
      <c r="O36" s="6">
        <v>51973.634640884797</v>
      </c>
      <c r="P36" s="6">
        <v>64100.8160570912</v>
      </c>
      <c r="Q36" s="6">
        <v>76981.238555049596</v>
      </c>
      <c r="R36" s="6">
        <v>87526.613699577007</v>
      </c>
      <c r="S36" s="6">
        <v>92648.6530554903</v>
      </c>
      <c r="T36" s="6">
        <v>75776.052824246493</v>
      </c>
      <c r="U36" s="6">
        <v>138747.007258709</v>
      </c>
      <c r="V36" s="2">
        <f t="shared" si="1"/>
        <v>2193806.7585184993</v>
      </c>
      <c r="X36" s="7">
        <v>1863131.969848</v>
      </c>
      <c r="Y36" s="5">
        <v>3353.6375457263998</v>
      </c>
      <c r="Z36" s="6">
        <v>10992.478622103101</v>
      </c>
      <c r="AA36" s="5">
        <v>19376.572486419202</v>
      </c>
      <c r="AB36" s="6">
        <v>8384.0938643159898</v>
      </c>
      <c r="AC36" s="5">
        <v>10619.852228133601</v>
      </c>
      <c r="AD36" s="6">
        <v>13600.863379890399</v>
      </c>
      <c r="AE36" s="6">
        <v>20867.078062297602</v>
      </c>
      <c r="AF36" s="6">
        <v>25338.594789932798</v>
      </c>
      <c r="AG36" s="6">
        <v>43597.288094443102</v>
      </c>
      <c r="AH36" s="6">
        <v>65209.618944679998</v>
      </c>
      <c r="AI36" s="5">
        <v>87567.202582856</v>
      </c>
      <c r="AJ36" s="6">
        <v>100050.186780837</v>
      </c>
      <c r="AK36" s="6">
        <v>128556.105919512</v>
      </c>
      <c r="AL36" s="6">
        <v>158552.53063406399</v>
      </c>
      <c r="AM36" s="6">
        <v>190412.087318465</v>
      </c>
      <c r="AN36" s="6">
        <v>216495.93489633701</v>
      </c>
      <c r="AO36" s="5">
        <v>229165.23229130401</v>
      </c>
      <c r="AP36" s="6">
        <v>187431.07616670799</v>
      </c>
      <c r="AQ36" s="6">
        <v>343188.90884600102</v>
      </c>
      <c r="AR36" s="2">
        <f t="shared" si="0"/>
        <v>221340.0780179422</v>
      </c>
    </row>
    <row r="37" spans="1:44" x14ac:dyDescent="0.25">
      <c r="A37">
        <v>2029</v>
      </c>
      <c r="B37" s="15">
        <v>1189851.19328656</v>
      </c>
      <c r="C37" s="6">
        <v>91060.393670235106</v>
      </c>
      <c r="D37" s="6">
        <v>252425.12712306701</v>
      </c>
      <c r="E37" s="6">
        <v>371739.18659191002</v>
      </c>
      <c r="F37" s="6">
        <v>160848.68650611499</v>
      </c>
      <c r="G37" s="6">
        <v>165992.28723364099</v>
      </c>
      <c r="H37" s="6">
        <v>212586.613474663</v>
      </c>
      <c r="I37" s="6">
        <v>259434.61470484899</v>
      </c>
      <c r="J37" s="6">
        <v>238581.59562084699</v>
      </c>
      <c r="K37" s="6">
        <v>282266.15474066802</v>
      </c>
      <c r="L37" s="6">
        <v>234760.36981243899</v>
      </c>
      <c r="M37" s="6">
        <v>55923.006084468398</v>
      </c>
      <c r="N37" s="6">
        <v>63895.009079488402</v>
      </c>
      <c r="O37" s="6">
        <v>82099.732336772795</v>
      </c>
      <c r="P37" s="6">
        <v>101256.336548686</v>
      </c>
      <c r="Q37" s="6">
        <v>121602.791953886</v>
      </c>
      <c r="R37" s="6">
        <v>138260.70865989799</v>
      </c>
      <c r="S37" s="6">
        <v>146351.69677424699</v>
      </c>
      <c r="T37" s="6">
        <v>119699.030044628</v>
      </c>
      <c r="U37" s="6">
        <v>219170.58980338401</v>
      </c>
      <c r="V37" s="2">
        <f t="shared" si="1"/>
        <v>3317953.9307638928</v>
      </c>
      <c r="X37" s="7">
        <v>2080559.969848</v>
      </c>
      <c r="Y37" s="5">
        <v>3745.0079457264001</v>
      </c>
      <c r="Z37" s="6">
        <v>12275.3038221031</v>
      </c>
      <c r="AA37" s="5">
        <v>21637.8236864192</v>
      </c>
      <c r="AB37" s="6">
        <v>9362.5198643159893</v>
      </c>
      <c r="AC37" s="5">
        <v>11859.1918281336</v>
      </c>
      <c r="AD37" s="5">
        <v>15188.0877798904</v>
      </c>
      <c r="AE37" s="6">
        <v>23302.2716622976</v>
      </c>
      <c r="AF37" s="5">
        <v>28295.615589932801</v>
      </c>
      <c r="AG37" s="6">
        <v>48685.103294443099</v>
      </c>
      <c r="AH37" s="6">
        <v>72819.598944679994</v>
      </c>
      <c r="AI37" s="5">
        <v>97786.318582855994</v>
      </c>
      <c r="AJ37" s="6">
        <v>111726.070380837</v>
      </c>
      <c r="AK37" s="6">
        <v>143558.637919512</v>
      </c>
      <c r="AL37" s="6">
        <v>177055.65343406401</v>
      </c>
      <c r="AM37" s="6">
        <v>212633.228918465</v>
      </c>
      <c r="AN37" s="6">
        <v>241761.06849633699</v>
      </c>
      <c r="AO37" s="5">
        <v>255908.87629130401</v>
      </c>
      <c r="AP37" s="6">
        <v>209304.332966708</v>
      </c>
      <c r="AQ37" s="6">
        <v>383239.14644600102</v>
      </c>
      <c r="AR37" s="2">
        <f t="shared" si="0"/>
        <v>247170.52441794216</v>
      </c>
    </row>
    <row r="38" spans="1:44" x14ac:dyDescent="0.25">
      <c r="A38" s="11">
        <v>2030</v>
      </c>
      <c r="B38" s="15">
        <v>1735935.95631889</v>
      </c>
      <c r="C38" s="6">
        <v>107127.44421161999</v>
      </c>
      <c r="D38" s="6">
        <v>301697.63186563499</v>
      </c>
      <c r="E38" s="6">
        <v>450632.042623627</v>
      </c>
      <c r="F38" s="6">
        <v>194985.018442915</v>
      </c>
      <c r="G38" s="6">
        <v>206854.34978266599</v>
      </c>
      <c r="H38" s="6">
        <v>264918.72866902902</v>
      </c>
      <c r="I38" s="6">
        <v>332276.42725457501</v>
      </c>
      <c r="J38" s="5">
        <v>322454.49219006498</v>
      </c>
      <c r="K38" s="5">
        <v>423279.05798868102</v>
      </c>
      <c r="L38" s="6">
        <v>441305.91517787101</v>
      </c>
      <c r="M38" s="6">
        <v>340915.599512399</v>
      </c>
      <c r="N38" s="6">
        <v>93219.760854324501</v>
      </c>
      <c r="O38" s="6">
        <v>119779.580986003</v>
      </c>
      <c r="P38" s="6">
        <v>147728.14988273699</v>
      </c>
      <c r="Q38" s="6">
        <v>177412.65473579001</v>
      </c>
      <c r="R38" s="6">
        <v>201715.75812425499</v>
      </c>
      <c r="S38" s="6">
        <v>213520.12262722399</v>
      </c>
      <c r="T38" s="6">
        <v>174635.15720568001</v>
      </c>
      <c r="U38" s="6">
        <v>319759.40315393999</v>
      </c>
      <c r="V38" s="2">
        <f t="shared" si="1"/>
        <v>4834217.2952890368</v>
      </c>
      <c r="X38" s="7">
        <v>2317338.969848</v>
      </c>
      <c r="Y38" s="5">
        <v>4171.2101457263998</v>
      </c>
      <c r="Z38" s="6">
        <v>13672.2999221031</v>
      </c>
      <c r="AA38" s="5">
        <v>24100.3252864192</v>
      </c>
      <c r="AB38" s="5">
        <v>10428.025364315999</v>
      </c>
      <c r="AC38" s="5">
        <v>13208.832128133599</v>
      </c>
      <c r="AD38" s="5">
        <v>16916.574479890402</v>
      </c>
      <c r="AE38" s="6">
        <v>25954.196462297601</v>
      </c>
      <c r="AF38" s="5">
        <v>31515.809989932801</v>
      </c>
      <c r="AG38" s="6">
        <v>54225.731894443103</v>
      </c>
      <c r="AH38" s="6">
        <v>81106.863944679993</v>
      </c>
      <c r="AI38" s="6">
        <v>108914.931582855</v>
      </c>
      <c r="AJ38" s="6">
        <v>124441.10268083699</v>
      </c>
      <c r="AK38" s="5">
        <v>159896.38891951201</v>
      </c>
      <c r="AL38" s="6">
        <v>197205.54633406401</v>
      </c>
      <c r="AM38" s="6">
        <v>236832.042718465</v>
      </c>
      <c r="AN38" s="6">
        <v>269274.78829633701</v>
      </c>
      <c r="AO38" s="5">
        <v>285032.69329130399</v>
      </c>
      <c r="AP38" s="6">
        <v>233124.30036670799</v>
      </c>
      <c r="AQ38" s="6">
        <v>426853.83824600099</v>
      </c>
      <c r="AR38" s="2">
        <f t="shared" si="0"/>
        <v>275299.8696179422</v>
      </c>
    </row>
    <row r="39" spans="1:44" x14ac:dyDescent="0.25">
      <c r="A39">
        <v>2031</v>
      </c>
      <c r="B39" s="15">
        <v>1841621.19768915</v>
      </c>
      <c r="C39" s="6">
        <v>123582.073581089</v>
      </c>
      <c r="D39" s="6">
        <v>351763.48863034998</v>
      </c>
      <c r="E39" s="6">
        <v>532905.10347079602</v>
      </c>
      <c r="F39" s="5">
        <v>230583.93900178699</v>
      </c>
      <c r="G39" s="6">
        <v>247583.419266004</v>
      </c>
      <c r="H39" s="6">
        <v>317080.51941084699</v>
      </c>
      <c r="I39" s="6">
        <v>407634.30731641903</v>
      </c>
      <c r="J39" s="6">
        <v>404915.81430469197</v>
      </c>
      <c r="K39" s="6">
        <v>557284.399421309</v>
      </c>
      <c r="L39" s="5">
        <v>636808.62451609701</v>
      </c>
      <c r="M39" s="6">
        <v>597577.92475610902</v>
      </c>
      <c r="N39" s="5">
        <v>395189.41201811901</v>
      </c>
      <c r="O39" s="6">
        <v>127071.862640551</v>
      </c>
      <c r="P39" s="6">
        <v>156721.96392334599</v>
      </c>
      <c r="Q39" s="6">
        <v>188213.686403831</v>
      </c>
      <c r="R39" s="6">
        <v>213996.38317147901</v>
      </c>
      <c r="S39" s="6">
        <v>226519.407315766</v>
      </c>
      <c r="T39" s="6">
        <v>185267.09248752799</v>
      </c>
      <c r="U39" s="6">
        <v>339226.624614342</v>
      </c>
      <c r="V39" s="2">
        <f t="shared" si="1"/>
        <v>6239926.0462504616</v>
      </c>
      <c r="X39" s="7">
        <v>2575190.969848</v>
      </c>
      <c r="Y39" s="5">
        <v>4635.3437457263999</v>
      </c>
      <c r="Z39" s="5">
        <v>15193.626722103199</v>
      </c>
      <c r="AA39" s="5">
        <v>26781.986086419201</v>
      </c>
      <c r="AB39" s="5">
        <v>11588.359364316</v>
      </c>
      <c r="AC39" s="5">
        <v>14678.5885281336</v>
      </c>
      <c r="AD39" s="5">
        <v>18798.8940798904</v>
      </c>
      <c r="AE39" s="6">
        <v>28842.138862297601</v>
      </c>
      <c r="AF39" s="5">
        <v>35022.5971899328</v>
      </c>
      <c r="AG39" s="6">
        <v>60259.468694443101</v>
      </c>
      <c r="AH39" s="6">
        <v>90131.68394468</v>
      </c>
      <c r="AI39" s="6">
        <v>121033.975582855</v>
      </c>
      <c r="AJ39" s="6">
        <v>138287.755080837</v>
      </c>
      <c r="AK39" s="5">
        <v>177688.17691951201</v>
      </c>
      <c r="AL39" s="6">
        <v>219148.75153406401</v>
      </c>
      <c r="AM39" s="6">
        <v>263184.51711846498</v>
      </c>
      <c r="AN39" s="6">
        <v>299237.19069633703</v>
      </c>
      <c r="AO39" s="6">
        <v>316748.48929130298</v>
      </c>
      <c r="AP39" s="6">
        <v>259064.21156670799</v>
      </c>
      <c r="AQ39" s="6">
        <v>474350.176646001</v>
      </c>
      <c r="AR39" s="2">
        <f t="shared" si="0"/>
        <v>305932.68721794232</v>
      </c>
    </row>
    <row r="40" spans="1:44" x14ac:dyDescent="0.25">
      <c r="A40">
        <v>2032</v>
      </c>
      <c r="B40" s="15">
        <v>3021930.5423090002</v>
      </c>
      <c r="C40" s="6">
        <v>143406.73834428599</v>
      </c>
      <c r="D40" s="6">
        <v>412038.36750363198</v>
      </c>
      <c r="E40" s="6">
        <v>632332.83539477596</v>
      </c>
      <c r="F40" s="6">
        <v>273605.55377658602</v>
      </c>
      <c r="G40" s="6">
        <v>298800.721610879</v>
      </c>
      <c r="H40" s="6">
        <v>382674.60837884602</v>
      </c>
      <c r="I40" s="6">
        <v>499699.10465226998</v>
      </c>
      <c r="J40" s="6">
        <v>511036.64901925297</v>
      </c>
      <c r="K40" s="6">
        <v>724312.49757828203</v>
      </c>
      <c r="L40" s="6">
        <v>874855.678422948</v>
      </c>
      <c r="M40" s="6">
        <v>910617.29414199898</v>
      </c>
      <c r="N40" s="6">
        <v>746146.88549760298</v>
      </c>
      <c r="O40" s="6">
        <v>208513.207419321</v>
      </c>
      <c r="P40" s="6">
        <v>257166.28915049601</v>
      </c>
      <c r="Q40" s="6">
        <v>308841.30142397998</v>
      </c>
      <c r="R40" s="6">
        <v>351148.32901630597</v>
      </c>
      <c r="S40" s="6">
        <v>371697.456704007</v>
      </c>
      <c r="T40" s="6">
        <v>304006.21255628503</v>
      </c>
      <c r="U40" s="6">
        <v>556639.60589331796</v>
      </c>
      <c r="V40" s="2">
        <f t="shared" si="1"/>
        <v>8767539.336485073</v>
      </c>
      <c r="X40" s="7">
        <v>2855991.969848</v>
      </c>
      <c r="Y40" s="6">
        <v>5140.7855457263904</v>
      </c>
      <c r="Z40" s="5">
        <v>16850.352622103201</v>
      </c>
      <c r="AA40" s="5">
        <v>29702.3164864192</v>
      </c>
      <c r="AB40" s="5">
        <v>12851.963864316</v>
      </c>
      <c r="AC40" s="5">
        <v>16279.154228133601</v>
      </c>
      <c r="AD40" s="5">
        <v>20848.741379890402</v>
      </c>
      <c r="AE40" s="6">
        <v>31987.110062297601</v>
      </c>
      <c r="AF40" s="5">
        <v>38841.490789932803</v>
      </c>
      <c r="AG40" s="6">
        <v>66830.212094443094</v>
      </c>
      <c r="AH40" s="6">
        <v>99959.718944680004</v>
      </c>
      <c r="AI40" s="6">
        <v>134231.62258285499</v>
      </c>
      <c r="AJ40" s="6">
        <v>153366.76878083701</v>
      </c>
      <c r="AK40" s="5">
        <v>197063.44591951201</v>
      </c>
      <c r="AL40" s="6">
        <v>243044.91663406399</v>
      </c>
      <c r="AM40" s="6">
        <v>291882.37931846501</v>
      </c>
      <c r="AN40" s="6">
        <v>331866.26689633698</v>
      </c>
      <c r="AO40" s="6">
        <v>351287.01229130302</v>
      </c>
      <c r="AP40" s="6">
        <v>287312.79216670798</v>
      </c>
      <c r="AQ40" s="6">
        <v>526073.72084600094</v>
      </c>
      <c r="AR40" s="2">
        <f t="shared" si="0"/>
        <v>339291.8460179423</v>
      </c>
    </row>
    <row r="41" spans="1:44" x14ac:dyDescent="0.25">
      <c r="A41">
        <v>2033</v>
      </c>
      <c r="B41" s="15">
        <v>3183216.7408959898</v>
      </c>
      <c r="C41" s="6">
        <v>162977.197133118</v>
      </c>
      <c r="D41" s="6">
        <v>471006.91567342402</v>
      </c>
      <c r="E41" s="6">
        <v>727982.13147543103</v>
      </c>
      <c r="F41" s="6">
        <v>314992.26842686901</v>
      </c>
      <c r="G41" s="6">
        <v>347486.27624236298</v>
      </c>
      <c r="H41" s="6">
        <v>445026.28360864101</v>
      </c>
      <c r="I41" s="6">
        <v>588923.43620728201</v>
      </c>
      <c r="J41" s="6">
        <v>608970.762090481</v>
      </c>
      <c r="K41" s="6">
        <v>883057.37423113605</v>
      </c>
      <c r="L41" s="6">
        <v>1089017.8591145</v>
      </c>
      <c r="M41" s="6">
        <v>1182385.9080342101</v>
      </c>
      <c r="N41" s="6">
        <v>1049088.9218128</v>
      </c>
      <c r="O41" s="6">
        <v>600353.95968092</v>
      </c>
      <c r="P41" s="6">
        <v>270891.74465024797</v>
      </c>
      <c r="Q41" s="6">
        <v>325324.75091956998</v>
      </c>
      <c r="R41" s="6">
        <v>369889.78529211401</v>
      </c>
      <c r="S41" s="6">
        <v>391535.65913020697</v>
      </c>
      <c r="T41" s="6">
        <v>320231.604134136</v>
      </c>
      <c r="U41" s="6">
        <v>586348.52367304103</v>
      </c>
      <c r="V41" s="2">
        <f t="shared" si="1"/>
        <v>10735491.36153049</v>
      </c>
      <c r="X41" s="7">
        <v>3161783.969848</v>
      </c>
      <c r="Y41" s="5">
        <v>5691.2111457264</v>
      </c>
      <c r="Z41" s="5">
        <v>18654.525422103201</v>
      </c>
      <c r="AA41" s="5">
        <v>32882.553286419199</v>
      </c>
      <c r="AB41" s="5">
        <v>14228.027864316</v>
      </c>
      <c r="AC41" s="5">
        <v>18022.168628133601</v>
      </c>
      <c r="AD41" s="5">
        <v>23081.0229798904</v>
      </c>
      <c r="AE41" s="6">
        <v>35411.980462297601</v>
      </c>
      <c r="AF41" s="6">
        <v>43000.261989932798</v>
      </c>
      <c r="AG41" s="6">
        <v>73985.744894443094</v>
      </c>
      <c r="AH41" s="6">
        <v>110662.43894468001</v>
      </c>
      <c r="AI41" s="6">
        <v>148603.84658285501</v>
      </c>
      <c r="AJ41" s="6">
        <v>169787.799180837</v>
      </c>
      <c r="AK41" s="5">
        <v>218163.093919512</v>
      </c>
      <c r="AL41" s="6">
        <v>269067.81583406398</v>
      </c>
      <c r="AM41" s="6">
        <v>323134.32171846501</v>
      </c>
      <c r="AN41" s="6">
        <v>367399.29729633703</v>
      </c>
      <c r="AO41" s="5">
        <v>388899.42829130398</v>
      </c>
      <c r="AP41" s="6">
        <v>318075.46736670798</v>
      </c>
      <c r="AQ41" s="6">
        <v>582400.60724600102</v>
      </c>
      <c r="AR41" s="2">
        <f t="shared" si="0"/>
        <v>375619.93561794225</v>
      </c>
    </row>
    <row r="42" spans="1:44" x14ac:dyDescent="0.25">
      <c r="A42">
        <v>2034</v>
      </c>
      <c r="B42" s="15">
        <v>5236023.9011407699</v>
      </c>
      <c r="C42" s="6">
        <v>187474.875656883</v>
      </c>
      <c r="D42" s="6">
        <v>546314.344844123</v>
      </c>
      <c r="E42" s="6">
        <v>851598.22794730496</v>
      </c>
      <c r="F42" s="6">
        <v>368480.00247719901</v>
      </c>
      <c r="G42" s="6">
        <v>410690.96359625401</v>
      </c>
      <c r="H42" s="6">
        <v>525972.63758818596</v>
      </c>
      <c r="I42" s="6">
        <v>705771.01253436401</v>
      </c>
      <c r="J42" s="6">
        <v>743038.91086188599</v>
      </c>
      <c r="K42" s="6">
        <v>1095822.6152373201</v>
      </c>
      <c r="L42" s="6">
        <v>1392659.06513361</v>
      </c>
      <c r="M42" s="6">
        <v>1558875.33743449</v>
      </c>
      <c r="N42" s="6">
        <v>1461172.2438797201</v>
      </c>
      <c r="O42" s="6">
        <v>1111504.64814561</v>
      </c>
      <c r="P42" s="6">
        <v>445585.63398707903</v>
      </c>
      <c r="Q42" s="6">
        <v>535121.64269658597</v>
      </c>
      <c r="R42" s="6">
        <v>608425.97731255705</v>
      </c>
      <c r="S42" s="6">
        <v>644030.93984031398</v>
      </c>
      <c r="T42" s="6">
        <v>526744.00445476105</v>
      </c>
      <c r="U42" s="6">
        <v>964475.60259012994</v>
      </c>
      <c r="V42" s="2">
        <f t="shared" si="1"/>
        <v>14683758.686218379</v>
      </c>
      <c r="X42" s="7">
        <v>3494791.969848</v>
      </c>
      <c r="Y42" s="5">
        <v>6290.6255457263997</v>
      </c>
      <c r="Z42" s="6">
        <v>20619.272622103199</v>
      </c>
      <c r="AA42" s="5">
        <v>36345.836486419197</v>
      </c>
      <c r="AB42" s="5">
        <v>15726.563864316</v>
      </c>
      <c r="AC42" s="5">
        <v>19920.3142281336</v>
      </c>
      <c r="AD42" s="5">
        <v>25511.9813798904</v>
      </c>
      <c r="AE42" s="6">
        <v>39141.670062297599</v>
      </c>
      <c r="AF42" s="5">
        <v>47529.170789932803</v>
      </c>
      <c r="AG42" s="6">
        <v>81778.132094443106</v>
      </c>
      <c r="AH42" s="6">
        <v>122317.71894468</v>
      </c>
      <c r="AI42" s="6">
        <v>164255.222582855</v>
      </c>
      <c r="AJ42" s="6">
        <v>187670.32878083701</v>
      </c>
      <c r="AK42" s="5">
        <v>241140.645919512</v>
      </c>
      <c r="AL42" s="6">
        <v>297406.796634064</v>
      </c>
      <c r="AM42" s="6">
        <v>357167.739318465</v>
      </c>
      <c r="AN42" s="6">
        <v>406094.82689633698</v>
      </c>
      <c r="AO42" s="5">
        <v>429859.41229130398</v>
      </c>
      <c r="AP42" s="6">
        <v>351576.07216670801</v>
      </c>
      <c r="AQ42" s="6">
        <v>643740.68084600102</v>
      </c>
      <c r="AR42" s="2">
        <f t="shared" si="0"/>
        <v>415181.2860179423</v>
      </c>
    </row>
    <row r="43" spans="1:44" x14ac:dyDescent="0.25">
      <c r="A43" s="11">
        <v>2035</v>
      </c>
      <c r="B43" s="15">
        <v>6717929.4850723902</v>
      </c>
      <c r="C43" s="6">
        <v>212609.72673369601</v>
      </c>
      <c r="D43" s="6">
        <v>623243.576945532</v>
      </c>
      <c r="E43" s="5">
        <v>978405.45438757201</v>
      </c>
      <c r="F43" s="6">
        <v>423348.51391769899</v>
      </c>
      <c r="G43" s="6">
        <v>475187.57292311703</v>
      </c>
      <c r="H43" s="6">
        <v>608573.55830504501</v>
      </c>
      <c r="I43" s="5">
        <v>823567.83167382004</v>
      </c>
      <c r="J43" s="6">
        <v>877160.08189630799</v>
      </c>
      <c r="K43" s="6">
        <v>1313138.0317597</v>
      </c>
      <c r="L43" s="6">
        <v>1690913.7758726999</v>
      </c>
      <c r="M43" s="6">
        <v>1939786.5802163901</v>
      </c>
      <c r="N43" s="6">
        <v>1860670.4347894799</v>
      </c>
      <c r="O43" s="6">
        <v>1591876.0785088199</v>
      </c>
      <c r="P43" s="6">
        <v>571695.79917966004</v>
      </c>
      <c r="Q43" s="6">
        <v>686572.393374398</v>
      </c>
      <c r="R43" s="5">
        <v>780623.40616541205</v>
      </c>
      <c r="S43" s="6">
        <v>826305.32666390401</v>
      </c>
      <c r="T43" s="6">
        <v>675823.70619828196</v>
      </c>
      <c r="U43" s="6">
        <v>1237442.6111503299</v>
      </c>
      <c r="V43" s="2">
        <f t="shared" si="1"/>
        <v>18196944.460661866</v>
      </c>
      <c r="X43" s="7">
        <v>3857436.969848</v>
      </c>
      <c r="Y43" s="5">
        <v>6943.3865457264001</v>
      </c>
      <c r="Z43" s="6">
        <v>22758.8781221032</v>
      </c>
      <c r="AA43" s="5">
        <v>40117.344486419199</v>
      </c>
      <c r="AB43" s="5">
        <v>17358.466364315998</v>
      </c>
      <c r="AC43" s="5">
        <v>21987.3907281336</v>
      </c>
      <c r="AD43" s="5">
        <v>28159.289879890399</v>
      </c>
      <c r="AE43" s="6">
        <v>43203.294062297602</v>
      </c>
      <c r="AF43" s="6">
        <v>52461.142789932797</v>
      </c>
      <c r="AG43" s="6">
        <v>90264.025094443103</v>
      </c>
      <c r="AH43" s="6">
        <v>135010.29394467999</v>
      </c>
      <c r="AI43" s="6">
        <v>181299.537582855</v>
      </c>
      <c r="AJ43" s="6">
        <v>207144.365280837</v>
      </c>
      <c r="AK43" s="5">
        <v>266163.15091951197</v>
      </c>
      <c r="AL43" s="6">
        <v>328267.886134064</v>
      </c>
      <c r="AM43" s="6">
        <v>394230.05831846502</v>
      </c>
      <c r="AN43" s="6">
        <v>448234.17589633702</v>
      </c>
      <c r="AO43" s="5">
        <v>474464.747291304</v>
      </c>
      <c r="AP43" s="6">
        <v>388058.15916670801</v>
      </c>
      <c r="AQ43" s="6">
        <v>710539.88984600105</v>
      </c>
      <c r="AR43" s="2">
        <f t="shared" si="0"/>
        <v>458263.51201794227</v>
      </c>
    </row>
    <row r="44" spans="1:44" x14ac:dyDescent="0.25">
      <c r="A44">
        <v>2036</v>
      </c>
      <c r="B44" s="15">
        <v>6790257.9793795599</v>
      </c>
      <c r="C44" s="6">
        <v>237020.28501350101</v>
      </c>
      <c r="D44" s="6">
        <v>697312.59739434195</v>
      </c>
      <c r="E44" s="6">
        <v>1099348.2816631601</v>
      </c>
      <c r="F44" s="6">
        <v>475679.54495041003</v>
      </c>
      <c r="G44" s="6">
        <v>536652.19853415096</v>
      </c>
      <c r="H44" s="6">
        <v>687291.41215777199</v>
      </c>
      <c r="I44" s="6">
        <v>934508.98062152299</v>
      </c>
      <c r="J44" s="6">
        <v>1001026.68204132</v>
      </c>
      <c r="K44" s="6">
        <v>1510917.54428675</v>
      </c>
      <c r="L44" s="6">
        <v>1966617.4811098999</v>
      </c>
      <c r="M44" s="6">
        <v>2274042.50914203</v>
      </c>
      <c r="N44" s="6">
        <v>2220179.0275773001</v>
      </c>
      <c r="O44" s="6">
        <v>1984700.0861054701</v>
      </c>
      <c r="P44" s="6">
        <v>1047362.22900959</v>
      </c>
      <c r="Q44" s="6">
        <v>693964.36549259105</v>
      </c>
      <c r="R44" s="6">
        <v>789027.977203905</v>
      </c>
      <c r="S44" s="6">
        <v>835201.73146368598</v>
      </c>
      <c r="T44" s="6">
        <v>683099.95272558404</v>
      </c>
      <c r="U44" s="6">
        <v>1250765.51980171</v>
      </c>
      <c r="V44" s="2">
        <f t="shared" si="1"/>
        <v>20924718.406294696</v>
      </c>
      <c r="X44" s="8">
        <v>4252357.9698479902</v>
      </c>
      <c r="Y44" s="5">
        <v>7654.2443457263998</v>
      </c>
      <c r="Z44" s="6">
        <v>25088.912022103199</v>
      </c>
      <c r="AA44" s="6">
        <v>44224.522886419101</v>
      </c>
      <c r="AB44" s="6">
        <v>19135.610864315899</v>
      </c>
      <c r="AC44" s="5">
        <v>24238.440428133599</v>
      </c>
      <c r="AD44" s="6">
        <v>31042.213179890299</v>
      </c>
      <c r="AE44" s="6">
        <v>47626.409262297602</v>
      </c>
      <c r="AF44" s="6">
        <v>57832.0683899328</v>
      </c>
      <c r="AG44" s="6">
        <v>99505.176494443105</v>
      </c>
      <c r="AH44" s="5">
        <v>148832.52894468</v>
      </c>
      <c r="AI44" s="6">
        <v>199860.82458285501</v>
      </c>
      <c r="AJ44" s="6">
        <v>228351.62298083701</v>
      </c>
      <c r="AK44" s="5">
        <v>293412.69991951197</v>
      </c>
      <c r="AL44" s="6">
        <v>361875.66323406401</v>
      </c>
      <c r="AM44" s="6">
        <v>434590.984518465</v>
      </c>
      <c r="AN44" s="6">
        <v>494123.99609633698</v>
      </c>
      <c r="AO44" s="5">
        <v>523040.03029130399</v>
      </c>
      <c r="AP44" s="6">
        <v>427787.211766708</v>
      </c>
      <c r="AQ44" s="6">
        <v>783284.33804600104</v>
      </c>
      <c r="AR44" s="2">
        <f t="shared" si="0"/>
        <v>505180.12681794201</v>
      </c>
    </row>
    <row r="45" spans="1:44" x14ac:dyDescent="0.25">
      <c r="A45">
        <v>2037</v>
      </c>
      <c r="B45" s="14">
        <v>8948622.4636524208</v>
      </c>
      <c r="C45" s="6">
        <v>267089.68579177401</v>
      </c>
      <c r="D45" s="6">
        <v>789630.49437270302</v>
      </c>
      <c r="E45" s="6">
        <v>1251601.6939218999</v>
      </c>
      <c r="F45" s="6">
        <v>541558.42525467195</v>
      </c>
      <c r="G45" s="6">
        <v>614826.54669800797</v>
      </c>
      <c r="H45" s="6">
        <v>787409.43699920306</v>
      </c>
      <c r="I45" s="6">
        <v>1078641.19337498</v>
      </c>
      <c r="J45" s="6">
        <v>1164106.1811955301</v>
      </c>
      <c r="K45" s="6">
        <v>1772845.8692548401</v>
      </c>
      <c r="L45" s="6">
        <v>2335440.3353515798</v>
      </c>
      <c r="M45" s="6">
        <v>2742300.1551334802</v>
      </c>
      <c r="N45" s="6">
        <v>2714085.21787732</v>
      </c>
      <c r="O45" s="6">
        <v>2544661.9979230999</v>
      </c>
      <c r="P45" s="6">
        <v>1686713.6313708201</v>
      </c>
      <c r="Q45" s="6">
        <v>914549.21578527696</v>
      </c>
      <c r="R45" s="6">
        <v>1039829.93027641</v>
      </c>
      <c r="S45" s="6">
        <v>1100680.5630292399</v>
      </c>
      <c r="T45" s="6">
        <v>900231.41984343296</v>
      </c>
      <c r="U45" s="6">
        <v>1648336.25780477</v>
      </c>
      <c r="V45" s="2">
        <f t="shared" si="1"/>
        <v>25894538.251259036</v>
      </c>
      <c r="X45" s="8">
        <v>4682426.9698479902</v>
      </c>
      <c r="Y45" s="5">
        <v>8428.3685457264</v>
      </c>
      <c r="Z45" s="6">
        <v>27626.319122103199</v>
      </c>
      <c r="AA45" s="6">
        <v>48697.240486419098</v>
      </c>
      <c r="AB45" s="6">
        <v>21070.921364315898</v>
      </c>
      <c r="AC45" s="5">
        <v>26689.833728133599</v>
      </c>
      <c r="AD45" s="6">
        <v>34181.7168798903</v>
      </c>
      <c r="AE45" s="6">
        <v>52443.182062297601</v>
      </c>
      <c r="AF45" s="6">
        <v>63681.006789932799</v>
      </c>
      <c r="AG45" s="6">
        <v>109568.791094443</v>
      </c>
      <c r="AH45" s="5">
        <v>163884.94394468001</v>
      </c>
      <c r="AI45" s="6">
        <v>220074.067582855</v>
      </c>
      <c r="AJ45" s="6">
        <v>251446.32828083701</v>
      </c>
      <c r="AK45" s="6">
        <v>323087.46091951098</v>
      </c>
      <c r="AL45" s="6">
        <v>398474.53513406398</v>
      </c>
      <c r="AM45" s="6">
        <v>478544.03631846502</v>
      </c>
      <c r="AN45" s="6">
        <v>544098.01389633701</v>
      </c>
      <c r="AO45" s="5">
        <v>575938.51729130396</v>
      </c>
      <c r="AP45" s="6">
        <v>471052.15316670801</v>
      </c>
      <c r="AQ45" s="6">
        <v>862503.04784600099</v>
      </c>
      <c r="AR45" s="2">
        <f t="shared" si="0"/>
        <v>556272.32401794184</v>
      </c>
    </row>
    <row r="46" spans="1:44" x14ac:dyDescent="0.25">
      <c r="A46">
        <v>2038</v>
      </c>
      <c r="B46" s="15">
        <v>8995063.4391634408</v>
      </c>
      <c r="C46" s="6">
        <v>295421.07577673899</v>
      </c>
      <c r="D46" s="6">
        <v>875726.40216649196</v>
      </c>
      <c r="E46" s="6">
        <v>1392359.50875993</v>
      </c>
      <c r="F46" s="6">
        <v>602463.24898266199</v>
      </c>
      <c r="G46" s="6">
        <v>686230.76173038897</v>
      </c>
      <c r="H46" s="6">
        <v>878856.94046172604</v>
      </c>
      <c r="I46" s="6">
        <v>1208584.73592728</v>
      </c>
      <c r="J46" s="6">
        <v>1310391.2037360501</v>
      </c>
      <c r="K46" s="6">
        <v>2004001.45262644</v>
      </c>
      <c r="L46" s="6">
        <v>2653269.1139646498</v>
      </c>
      <c r="M46" s="6">
        <v>3138279.8514809399</v>
      </c>
      <c r="N46" s="6">
        <v>3135642.7154957601</v>
      </c>
      <c r="O46" s="6">
        <v>3004736.3153639999</v>
      </c>
      <c r="P46" s="6">
        <v>2156905.2426363602</v>
      </c>
      <c r="Q46" s="6">
        <v>919295.48348250298</v>
      </c>
      <c r="R46" s="6">
        <v>1045226.3716307899</v>
      </c>
      <c r="S46" s="6">
        <v>1106392.8030171001</v>
      </c>
      <c r="T46" s="6">
        <v>904903.38197984197</v>
      </c>
      <c r="U46" s="6">
        <v>1656890.6854939</v>
      </c>
      <c r="V46" s="2">
        <f t="shared" si="1"/>
        <v>28975577.294713553</v>
      </c>
      <c r="X46" s="8">
        <v>5150771.9698479902</v>
      </c>
      <c r="Y46" s="5">
        <v>9271.3895457264007</v>
      </c>
      <c r="Z46" s="6">
        <v>30389.554622103198</v>
      </c>
      <c r="AA46" s="6">
        <v>53568.028486419098</v>
      </c>
      <c r="AB46" s="6">
        <v>23178.4738643159</v>
      </c>
      <c r="AC46" s="5">
        <v>29359.4002281336</v>
      </c>
      <c r="AD46" s="6">
        <v>37600.6353798903</v>
      </c>
      <c r="AE46" s="6">
        <v>57688.646062297601</v>
      </c>
      <c r="AF46" s="6">
        <v>70050.498789932797</v>
      </c>
      <c r="AG46" s="6">
        <v>120528.06409444301</v>
      </c>
      <c r="AH46" s="6">
        <v>180277.01894467999</v>
      </c>
      <c r="AI46" s="6">
        <v>242086.282582855</v>
      </c>
      <c r="AJ46" s="6">
        <v>276596.454780837</v>
      </c>
      <c r="AK46" s="6">
        <v>355403.26591951097</v>
      </c>
      <c r="AL46" s="6">
        <v>438330.69463406398</v>
      </c>
      <c r="AM46" s="6">
        <v>526408.89531846496</v>
      </c>
      <c r="AN46" s="6">
        <v>598519.70289633702</v>
      </c>
      <c r="AO46" s="5">
        <v>633544.95229130401</v>
      </c>
      <c r="AP46" s="6">
        <v>518167.660166708</v>
      </c>
      <c r="AQ46" s="6">
        <v>948772.19684600097</v>
      </c>
      <c r="AR46" s="2">
        <f t="shared" si="0"/>
        <v>611911.71001794189</v>
      </c>
    </row>
    <row r="47" spans="1:44" x14ac:dyDescent="0.25">
      <c r="A47">
        <v>2039</v>
      </c>
      <c r="B47" s="15">
        <v>9077600.5728786904</v>
      </c>
      <c r="C47" s="6">
        <v>326051.90971137502</v>
      </c>
      <c r="D47" s="6">
        <v>968793.83070408902</v>
      </c>
      <c r="E47" s="6">
        <v>1544480.3719092801</v>
      </c>
      <c r="F47" s="6">
        <v>668284.77630690101</v>
      </c>
      <c r="G47" s="6">
        <v>763573.40395169903</v>
      </c>
      <c r="H47" s="6">
        <v>977909.79804340401</v>
      </c>
      <c r="I47" s="6">
        <v>1349273.9234045199</v>
      </c>
      <c r="J47" s="6">
        <v>1468648.7099729099</v>
      </c>
      <c r="K47" s="6">
        <v>2256504.5576697499</v>
      </c>
      <c r="L47" s="6">
        <v>3000221.4211097602</v>
      </c>
      <c r="M47" s="6">
        <v>3566699.0245130099</v>
      </c>
      <c r="N47" s="6">
        <v>3589922.1204813798</v>
      </c>
      <c r="O47" s="6">
        <v>3495967.4435797799</v>
      </c>
      <c r="P47" s="6">
        <v>2642023.45911247</v>
      </c>
      <c r="Q47" s="6">
        <v>927730.77854820201</v>
      </c>
      <c r="R47" s="6">
        <v>1054817.1865685</v>
      </c>
      <c r="S47" s="6">
        <v>1116544.87046407</v>
      </c>
      <c r="T47" s="6">
        <v>913206.61763159605</v>
      </c>
      <c r="U47" s="6">
        <v>1672094.02552425</v>
      </c>
      <c r="V47" s="2">
        <f t="shared" si="1"/>
        <v>32302748.229206949</v>
      </c>
      <c r="X47" s="8">
        <v>5660798.9698479902</v>
      </c>
      <c r="Y47" s="5">
        <v>10189.438145726401</v>
      </c>
      <c r="Z47" s="6">
        <v>33398.713922103198</v>
      </c>
      <c r="AA47" s="6">
        <v>58872.309286419098</v>
      </c>
      <c r="AB47" s="6">
        <v>25473.595364315901</v>
      </c>
      <c r="AC47" s="5">
        <v>32266.554128133601</v>
      </c>
      <c r="AD47" s="6">
        <v>41323.832479890298</v>
      </c>
      <c r="AE47" s="6">
        <v>63400.948462297602</v>
      </c>
      <c r="AF47" s="6">
        <v>76986.865989932805</v>
      </c>
      <c r="AG47" s="6">
        <v>132462.69589444299</v>
      </c>
      <c r="AH47" s="6">
        <v>198127.96394468</v>
      </c>
      <c r="AI47" s="5">
        <v>266057.55158285599</v>
      </c>
      <c r="AJ47" s="6">
        <v>303984.904680837</v>
      </c>
      <c r="AK47" s="5">
        <v>390595.12891951198</v>
      </c>
      <c r="AL47" s="6">
        <v>481733.99233406398</v>
      </c>
      <c r="AM47" s="6">
        <v>578533.65471846506</v>
      </c>
      <c r="AN47" s="6">
        <v>657784.84029633703</v>
      </c>
      <c r="AO47" s="5">
        <v>696278.27329130401</v>
      </c>
      <c r="AP47" s="6">
        <v>569476.37636670796</v>
      </c>
      <c r="AQ47" s="6">
        <v>1042719.1702460001</v>
      </c>
      <c r="AR47" s="2">
        <f t="shared" si="0"/>
        <v>672502.91761794197</v>
      </c>
    </row>
    <row r="48" spans="1:44" x14ac:dyDescent="0.25">
      <c r="A48" s="11">
        <v>2040</v>
      </c>
      <c r="B48" s="15">
        <v>11419838.2747941</v>
      </c>
      <c r="C48" s="6">
        <v>363332.15503660397</v>
      </c>
      <c r="D48" s="6">
        <v>1082507.80150197</v>
      </c>
      <c r="E48" s="6">
        <v>1731998.24623423</v>
      </c>
      <c r="F48" s="6">
        <v>749422.31808212097</v>
      </c>
      <c r="G48" s="6">
        <v>859808.95769277099</v>
      </c>
      <c r="H48" s="6">
        <v>1101158.8405539</v>
      </c>
      <c r="I48" s="6">
        <v>1526517.3843060799</v>
      </c>
      <c r="J48" s="6">
        <v>1670172.95244123</v>
      </c>
      <c r="K48" s="6">
        <v>2581600.89221523</v>
      </c>
      <c r="L48" s="6">
        <v>3456871.8598896</v>
      </c>
      <c r="M48" s="6">
        <v>4138658.3556330898</v>
      </c>
      <c r="N48" s="6">
        <v>4200583.8010492204</v>
      </c>
      <c r="O48" s="6">
        <v>4195705.8602337996</v>
      </c>
      <c r="P48" s="6">
        <v>3347808.82955145</v>
      </c>
      <c r="Q48" s="6">
        <v>1729930.1288315901</v>
      </c>
      <c r="R48" s="6">
        <v>1326985.2075310701</v>
      </c>
      <c r="S48" s="6">
        <v>1404640.10779967</v>
      </c>
      <c r="T48" s="6">
        <v>1148835.73044428</v>
      </c>
      <c r="U48" s="6">
        <v>2103534.2102170698</v>
      </c>
      <c r="V48" s="2">
        <f t="shared" si="1"/>
        <v>38720073.639244989</v>
      </c>
      <c r="X48" s="8">
        <v>6216218.9698479902</v>
      </c>
      <c r="Y48" s="5">
        <v>11189.1941457264</v>
      </c>
      <c r="Z48" s="6">
        <v>36675.6919221032</v>
      </c>
      <c r="AA48" s="6">
        <v>64648.677286419101</v>
      </c>
      <c r="AB48" s="6">
        <v>27972.9853643159</v>
      </c>
      <c r="AC48" s="5">
        <v>35432.448128133597</v>
      </c>
      <c r="AD48" s="6">
        <v>45378.398479890297</v>
      </c>
      <c r="AE48" s="6">
        <v>69621.652462297599</v>
      </c>
      <c r="AF48" s="6">
        <v>84540.577989932804</v>
      </c>
      <c r="AG48" s="6">
        <v>145459.523894443</v>
      </c>
      <c r="AH48" s="6">
        <v>217567.66394468001</v>
      </c>
      <c r="AI48" s="5">
        <v>292162.29158285598</v>
      </c>
      <c r="AJ48" s="6">
        <v>333810.95868083701</v>
      </c>
      <c r="AK48" s="6">
        <v>428919.10891951103</v>
      </c>
      <c r="AL48" s="6">
        <v>529000.23433406395</v>
      </c>
      <c r="AM48" s="6">
        <v>635297.57871846505</v>
      </c>
      <c r="AN48" s="6">
        <v>722324.64429633704</v>
      </c>
      <c r="AO48" s="5">
        <v>764594.93329130404</v>
      </c>
      <c r="AP48" s="6">
        <v>625351.62836670806</v>
      </c>
      <c r="AQ48" s="6">
        <v>1145027.534246</v>
      </c>
      <c r="AR48" s="2">
        <f t="shared" si="0"/>
        <v>738486.81361794192</v>
      </c>
    </row>
    <row r="49" spans="1:44" x14ac:dyDescent="0.25">
      <c r="A49">
        <v>2041</v>
      </c>
      <c r="B49" s="15">
        <v>11484845.309988599</v>
      </c>
      <c r="C49" s="6">
        <v>399318.80299374397</v>
      </c>
      <c r="D49" s="6">
        <v>1191230.4928216101</v>
      </c>
      <c r="E49" s="6">
        <v>1908693.0166376201</v>
      </c>
      <c r="F49" s="6">
        <v>825876.78604512697</v>
      </c>
      <c r="G49" s="6">
        <v>949566.24343780801</v>
      </c>
      <c r="H49" s="6">
        <v>1216111.15387649</v>
      </c>
      <c r="I49" s="6">
        <v>1690034.67253883</v>
      </c>
      <c r="J49" s="6">
        <v>1854339.2075642601</v>
      </c>
      <c r="K49" s="6">
        <v>2874903.1940239999</v>
      </c>
      <c r="L49" s="6">
        <v>3863198.5200334298</v>
      </c>
      <c r="M49" s="6">
        <v>4644542.0468219901</v>
      </c>
      <c r="N49" s="6">
        <v>4731444.54155102</v>
      </c>
      <c r="O49" s="6">
        <v>4777536.6881827498</v>
      </c>
      <c r="P49" s="6">
        <v>3915849.3366589001</v>
      </c>
      <c r="Q49" s="6">
        <v>2282498.6479452802</v>
      </c>
      <c r="R49" s="6">
        <v>1334539.0250206799</v>
      </c>
      <c r="S49" s="6">
        <v>1412635.9731286</v>
      </c>
      <c r="T49" s="6">
        <v>1155375.4381848499</v>
      </c>
      <c r="U49" s="5">
        <v>2115508.50609991</v>
      </c>
      <c r="V49" s="2">
        <f t="shared" si="1"/>
        <v>43143202.293566898</v>
      </c>
      <c r="X49" s="8">
        <v>6821070.9698479902</v>
      </c>
      <c r="Y49" s="5">
        <v>12277.9277457264</v>
      </c>
      <c r="Z49" s="6">
        <v>40244.318722103199</v>
      </c>
      <c r="AA49" s="6">
        <v>70939.138086419101</v>
      </c>
      <c r="AB49" s="6">
        <v>30694.819364315899</v>
      </c>
      <c r="AC49" s="5">
        <v>38880.104528133597</v>
      </c>
      <c r="AD49" s="6">
        <v>49793.818079890298</v>
      </c>
      <c r="AE49" s="6">
        <v>76395.994862297593</v>
      </c>
      <c r="AF49" s="6">
        <v>92766.565189932793</v>
      </c>
      <c r="AG49" s="6">
        <v>159613.060694443</v>
      </c>
      <c r="AH49" s="6">
        <v>238737.48394467999</v>
      </c>
      <c r="AI49" s="5">
        <v>320590.33558285597</v>
      </c>
      <c r="AJ49" s="6">
        <v>366291.51108083699</v>
      </c>
      <c r="AK49" s="6">
        <v>470653.89691951103</v>
      </c>
      <c r="AL49" s="6">
        <v>580473.13953406399</v>
      </c>
      <c r="AM49" s="6">
        <v>697113.45311846503</v>
      </c>
      <c r="AN49" s="6">
        <v>792608.44669633696</v>
      </c>
      <c r="AO49" s="5">
        <v>838991.72929130401</v>
      </c>
      <c r="AP49" s="6">
        <v>686199.73956670798</v>
      </c>
      <c r="AQ49" s="6">
        <v>1256441.2726459999</v>
      </c>
      <c r="AR49" s="2">
        <f t="shared" si="0"/>
        <v>810343.23121794185</v>
      </c>
    </row>
    <row r="50" spans="1:44" x14ac:dyDescent="0.25">
      <c r="A50">
        <v>2042</v>
      </c>
      <c r="B50" s="15">
        <v>11601195.1502904</v>
      </c>
      <c r="C50" s="5">
        <v>438441.45121755498</v>
      </c>
      <c r="D50" s="6">
        <v>1309417.0041385</v>
      </c>
      <c r="E50" s="6">
        <v>2100745.7054046402</v>
      </c>
      <c r="F50" s="5">
        <v>908976.50714624103</v>
      </c>
      <c r="G50" s="6">
        <v>1046631.03989271</v>
      </c>
      <c r="H50" s="6">
        <v>1340422.2089853999</v>
      </c>
      <c r="I50" s="6">
        <v>1866837.00034073</v>
      </c>
      <c r="J50" s="6">
        <v>2053426.72119719</v>
      </c>
      <c r="K50" s="6">
        <v>3192690.7853347599</v>
      </c>
      <c r="L50" s="6">
        <v>4303264.5902330801</v>
      </c>
      <c r="M50" s="5">
        <v>5192015.1095478795</v>
      </c>
      <c r="N50" s="6">
        <v>5311539.4725985304</v>
      </c>
      <c r="O50" s="6">
        <v>5407305.3706768397</v>
      </c>
      <c r="P50" s="6">
        <v>4522703.8298951602</v>
      </c>
      <c r="Q50" s="6">
        <v>2851919.8654500898</v>
      </c>
      <c r="R50" s="6">
        <v>1348058.8764637399</v>
      </c>
      <c r="S50" s="6">
        <v>1426947.0034857199</v>
      </c>
      <c r="T50" s="6">
        <v>1167080.2321192101</v>
      </c>
      <c r="U50" s="6">
        <v>2136940.1466835001</v>
      </c>
      <c r="V50" s="2">
        <f t="shared" si="1"/>
        <v>47925362.920811474</v>
      </c>
      <c r="X50" s="8">
        <v>7479754.9698479902</v>
      </c>
      <c r="Y50" s="5">
        <v>13463.5589457264</v>
      </c>
      <c r="Z50" s="6">
        <v>44130.554322103199</v>
      </c>
      <c r="AA50" s="6">
        <v>77789.451686419095</v>
      </c>
      <c r="AB50" s="6">
        <v>33658.897364315897</v>
      </c>
      <c r="AC50" s="5">
        <v>42634.603328133599</v>
      </c>
      <c r="AD50" s="6">
        <v>54602.211279890304</v>
      </c>
      <c r="AE50" s="6">
        <v>83773.255662297597</v>
      </c>
      <c r="AF50" s="6">
        <v>101724.667589932</v>
      </c>
      <c r="AG50" s="6">
        <v>175026.26629444299</v>
      </c>
      <c r="AH50" s="6">
        <v>261791.42394467999</v>
      </c>
      <c r="AI50" s="6">
        <v>351548.48358285503</v>
      </c>
      <c r="AJ50" s="6">
        <v>401662.84188083699</v>
      </c>
      <c r="AK50" s="6">
        <v>516103.09291951102</v>
      </c>
      <c r="AL50" s="5">
        <v>636527.14793406497</v>
      </c>
      <c r="AM50" s="6">
        <v>764430.95791846502</v>
      </c>
      <c r="AN50" s="6">
        <v>869147.52749633696</v>
      </c>
      <c r="AO50" s="5">
        <v>920009.861291304</v>
      </c>
      <c r="AP50" s="6">
        <v>752463.34996670799</v>
      </c>
      <c r="AQ50" s="6">
        <v>1377770.8654459999</v>
      </c>
      <c r="AR50" s="2">
        <f t="shared" si="0"/>
        <v>888594.89041794115</v>
      </c>
    </row>
    <row r="51" spans="1:44" x14ac:dyDescent="0.25">
      <c r="A51">
        <v>2043</v>
      </c>
      <c r="B51" s="15">
        <v>14425413.9390007</v>
      </c>
      <c r="C51" s="6">
        <v>485733.10331213201</v>
      </c>
      <c r="D51" s="6">
        <v>1453493.70606281</v>
      </c>
      <c r="E51" s="6">
        <v>2336998.2154670102</v>
      </c>
      <c r="F51" s="6">
        <v>1011201.15092322</v>
      </c>
      <c r="G51" s="6">
        <v>1167195.04650559</v>
      </c>
      <c r="H51" s="6">
        <v>1494828.74377032</v>
      </c>
      <c r="I51" s="6">
        <v>2087632.53560474</v>
      </c>
      <c r="J51" s="6">
        <v>2304630.9277896499</v>
      </c>
      <c r="K51" s="6">
        <v>3598066.84387653</v>
      </c>
      <c r="L51" s="6">
        <v>4872562.0502183205</v>
      </c>
      <c r="M51" s="6">
        <v>5909154.8199370597</v>
      </c>
      <c r="N51" s="6">
        <v>6081239.7477548299</v>
      </c>
      <c r="O51" s="6">
        <v>6277373.3049765201</v>
      </c>
      <c r="P51" s="6">
        <v>5423186.8158968696</v>
      </c>
      <c r="Q51" s="6">
        <v>3710131.4968965799</v>
      </c>
      <c r="R51" s="6">
        <v>1676233.0997118901</v>
      </c>
      <c r="S51" s="6">
        <v>1774325.91449709</v>
      </c>
      <c r="T51" s="6">
        <v>1451196.64226347</v>
      </c>
      <c r="U51" s="6">
        <v>2657161.24756394</v>
      </c>
      <c r="V51" s="2">
        <f t="shared" si="1"/>
        <v>55772345.413028575</v>
      </c>
      <c r="X51" s="8">
        <v>8197061.9698479902</v>
      </c>
      <c r="Y51" s="6">
        <v>14754.711545726301</v>
      </c>
      <c r="Z51" s="5">
        <v>48362.665622103203</v>
      </c>
      <c r="AA51" s="6">
        <v>85249.444486419103</v>
      </c>
      <c r="AB51" s="6">
        <v>36886.7788643159</v>
      </c>
      <c r="AC51" s="6">
        <v>46723.253228133501</v>
      </c>
      <c r="AD51" s="6">
        <v>59838.552379890301</v>
      </c>
      <c r="AE51" s="6">
        <v>91807.094062297605</v>
      </c>
      <c r="AF51" s="6">
        <v>111480.04278993201</v>
      </c>
      <c r="AG51" s="6">
        <v>191811.25009444301</v>
      </c>
      <c r="AH51" s="6">
        <v>286897.16894468002</v>
      </c>
      <c r="AI51" s="6">
        <v>385261.91258285497</v>
      </c>
      <c r="AJ51" s="6">
        <v>440182.22778083698</v>
      </c>
      <c r="AK51" s="6">
        <v>565597.27591951098</v>
      </c>
      <c r="AL51" s="5">
        <v>697569.97363406501</v>
      </c>
      <c r="AM51" s="6">
        <v>837739.73331846495</v>
      </c>
      <c r="AN51" s="6">
        <v>952498.60089633695</v>
      </c>
      <c r="AO51" s="6">
        <v>1008238.6222913</v>
      </c>
      <c r="AP51" s="6">
        <v>824624.43416670803</v>
      </c>
      <c r="AQ51" s="6">
        <v>1509898.8148459999</v>
      </c>
      <c r="AR51" s="2">
        <f t="shared" si="0"/>
        <v>973810.96201794094</v>
      </c>
    </row>
    <row r="52" spans="1:44" x14ac:dyDescent="0.25">
      <c r="A52">
        <v>2044</v>
      </c>
      <c r="B52" s="15">
        <v>18491774.442482799</v>
      </c>
      <c r="C52" s="6">
        <v>538815.93052571197</v>
      </c>
      <c r="D52" s="6">
        <v>1615589.7331705601</v>
      </c>
      <c r="E52" s="6">
        <v>2603451.8609431698</v>
      </c>
      <c r="F52" s="6">
        <v>1126493.5936773301</v>
      </c>
      <c r="G52" s="6">
        <v>1303523.9435181001</v>
      </c>
      <c r="H52" s="6">
        <v>1669425.4013477501</v>
      </c>
      <c r="I52" s="6">
        <v>2337978.7766962601</v>
      </c>
      <c r="J52" s="6">
        <v>2589070.1667591101</v>
      </c>
      <c r="K52" s="6">
        <v>4058383.6970182601</v>
      </c>
      <c r="L52" s="6">
        <v>5520920.4613655396</v>
      </c>
      <c r="M52" s="6">
        <v>6730075.8343311502</v>
      </c>
      <c r="N52" s="6">
        <v>6965090.9776180899</v>
      </c>
      <c r="O52" s="6">
        <v>7290862.6224544598</v>
      </c>
      <c r="P52" s="5">
        <v>6474775.5246536499</v>
      </c>
      <c r="Q52" s="6">
        <v>4725463.7906994997</v>
      </c>
      <c r="R52" s="6">
        <v>2148744.1902165101</v>
      </c>
      <c r="S52" s="6">
        <v>2274488.25642539</v>
      </c>
      <c r="T52" s="6">
        <v>1860272.5089137701</v>
      </c>
      <c r="U52" s="6">
        <v>3406184.8523053401</v>
      </c>
      <c r="V52" s="2">
        <f t="shared" si="1"/>
        <v>65239612.122639649</v>
      </c>
      <c r="X52" s="7">
        <v>8978208.9698479995</v>
      </c>
      <c r="Y52" s="6">
        <v>16160.7761457263</v>
      </c>
      <c r="Z52" s="5">
        <v>52971.432922103202</v>
      </c>
      <c r="AA52" s="6">
        <v>93373.373286419097</v>
      </c>
      <c r="AB52" s="5">
        <v>40401.940364315997</v>
      </c>
      <c r="AC52" s="5">
        <v>51175.791128133598</v>
      </c>
      <c r="AD52" s="6">
        <v>65540.925479890298</v>
      </c>
      <c r="AE52" s="6">
        <v>100555.940462297</v>
      </c>
      <c r="AF52" s="6">
        <v>122103.641989932</v>
      </c>
      <c r="AG52" s="6">
        <v>210090.08989444299</v>
      </c>
      <c r="AH52" s="6">
        <v>314237.31394467998</v>
      </c>
      <c r="AI52" s="6">
        <v>421975.82158285502</v>
      </c>
      <c r="AJ52" s="6">
        <v>482129.82168083702</v>
      </c>
      <c r="AK52" s="5">
        <v>619496.41891951195</v>
      </c>
      <c r="AL52" s="5">
        <v>764045.58333406504</v>
      </c>
      <c r="AM52" s="6">
        <v>917572.95671846496</v>
      </c>
      <c r="AN52" s="6">
        <v>1043267.8822963299</v>
      </c>
      <c r="AO52" s="6">
        <v>1104319.7032913</v>
      </c>
      <c r="AP52" s="6">
        <v>903207.82236670796</v>
      </c>
      <c r="AQ52" s="6">
        <v>1653786.092246</v>
      </c>
      <c r="AR52" s="2">
        <f t="shared" si="0"/>
        <v>1066611.2256179405</v>
      </c>
    </row>
    <row r="53" spans="1:44" x14ac:dyDescent="0.25">
      <c r="A53">
        <v>2045</v>
      </c>
      <c r="B53" s="15">
        <v>18653593.323985599</v>
      </c>
      <c r="C53" s="6">
        <v>588689.39824312599</v>
      </c>
      <c r="D53" s="6">
        <v>1766118.8833898299</v>
      </c>
      <c r="E53" s="6">
        <v>2847819.1906735399</v>
      </c>
      <c r="F53" s="6">
        <v>1232229.45750297</v>
      </c>
      <c r="G53" s="6">
        <v>1426891.88532463</v>
      </c>
      <c r="H53" s="6">
        <v>1827422.9408543501</v>
      </c>
      <c r="I53" s="6">
        <v>2561310.2048076498</v>
      </c>
      <c r="J53" s="6">
        <v>2838974.2288466701</v>
      </c>
      <c r="K53" s="6">
        <v>4454723.6692882897</v>
      </c>
      <c r="L53" s="6">
        <v>6070232.0255356599</v>
      </c>
      <c r="M53" s="6">
        <v>7413807.4771344503</v>
      </c>
      <c r="N53" s="6">
        <v>7689469.6253185896</v>
      </c>
      <c r="O53" s="6">
        <v>8088299.5599651001</v>
      </c>
      <c r="P53" s="6">
        <v>7243718.7440206101</v>
      </c>
      <c r="Q53" s="6">
        <v>5402308.26368568</v>
      </c>
      <c r="R53" s="6">
        <v>2775587.6643097699</v>
      </c>
      <c r="S53" s="6">
        <v>2294391.9788502301</v>
      </c>
      <c r="T53" s="6">
        <v>1876551.48839295</v>
      </c>
      <c r="U53" s="6">
        <v>3435991.8902781499</v>
      </c>
      <c r="V53" s="2">
        <f t="shared" si="1"/>
        <v>71834538.576422244</v>
      </c>
      <c r="X53" s="7">
        <v>9828877.9698479995</v>
      </c>
      <c r="Y53" s="5">
        <v>17691.980345726399</v>
      </c>
      <c r="Z53" s="5">
        <v>57990.3800221032</v>
      </c>
      <c r="AA53" s="6">
        <v>102220.330886419</v>
      </c>
      <c r="AB53" s="6">
        <v>44229.950864315899</v>
      </c>
      <c r="AC53" s="5">
        <v>56024.6044281336</v>
      </c>
      <c r="AD53" s="6">
        <v>71750.809179890304</v>
      </c>
      <c r="AE53" s="6">
        <v>110083.433262297</v>
      </c>
      <c r="AF53" s="6">
        <v>133672.74038993201</v>
      </c>
      <c r="AG53" s="6">
        <v>229995.744494443</v>
      </c>
      <c r="AH53" s="6">
        <v>344010.72894468001</v>
      </c>
      <c r="AI53" s="5">
        <v>461957.26458285598</v>
      </c>
      <c r="AJ53" s="6">
        <v>527810.74698083696</v>
      </c>
      <c r="AK53" s="6">
        <v>678192.57991951099</v>
      </c>
      <c r="AL53" s="5">
        <v>836437.51523406501</v>
      </c>
      <c r="AM53" s="6">
        <v>1004511.32851846</v>
      </c>
      <c r="AN53" s="6">
        <v>1142115.6200963301</v>
      </c>
      <c r="AO53" s="6">
        <v>1208951.9902913</v>
      </c>
      <c r="AP53" s="6">
        <v>988785.12376670795</v>
      </c>
      <c r="AQ53" s="6">
        <v>1810479.322046</v>
      </c>
      <c r="AR53" s="2">
        <f t="shared" si="0"/>
        <v>1167670.7028179404</v>
      </c>
    </row>
    <row r="54" spans="1:44" x14ac:dyDescent="0.25">
      <c r="A54">
        <v>2046</v>
      </c>
      <c r="B54" s="15">
        <v>23950718.021473099</v>
      </c>
      <c r="C54" s="6">
        <v>642859.39991135802</v>
      </c>
      <c r="D54" s="6">
        <v>1929593.0275746901</v>
      </c>
      <c r="E54" s="6">
        <v>3113158.7097041099</v>
      </c>
      <c r="F54" s="6">
        <v>1347039.82631428</v>
      </c>
      <c r="G54" s="6">
        <v>1560823.9795037699</v>
      </c>
      <c r="H54" s="6">
        <v>1998950.00883817</v>
      </c>
      <c r="I54" s="6">
        <v>2803717.3887082101</v>
      </c>
      <c r="J54" s="6">
        <v>3110162.3915534699</v>
      </c>
      <c r="K54" s="6">
        <v>4884705.6584693398</v>
      </c>
      <c r="L54" s="5">
        <v>6663048.2233823296</v>
      </c>
      <c r="M54" s="6">
        <v>8151454.4347700803</v>
      </c>
      <c r="N54" s="5">
        <v>8470669.3960715998</v>
      </c>
      <c r="O54" s="6">
        <v>8949558.2722841594</v>
      </c>
      <c r="P54" s="6">
        <v>8080541.0461256504</v>
      </c>
      <c r="Q54" s="6">
        <v>6121776.2513043396</v>
      </c>
      <c r="R54" s="6">
        <v>3393490.39155694</v>
      </c>
      <c r="S54" s="5">
        <v>2945938.3166411999</v>
      </c>
      <c r="T54" s="6">
        <v>2409442.2329601999</v>
      </c>
      <c r="U54" s="6">
        <v>4411722.2595553501</v>
      </c>
      <c r="V54" s="2">
        <f t="shared" si="1"/>
        <v>80988651.215229228</v>
      </c>
      <c r="X54" s="7">
        <v>10755256.969848</v>
      </c>
      <c r="Y54" s="6">
        <v>19359.462545726299</v>
      </c>
      <c r="Z54" s="5">
        <v>63456.016122103203</v>
      </c>
      <c r="AA54" s="6">
        <v>111854.672486419</v>
      </c>
      <c r="AB54" s="5">
        <v>48398.656364315997</v>
      </c>
      <c r="AC54" s="5">
        <v>61304.9647281336</v>
      </c>
      <c r="AD54" s="6">
        <v>78513.3758798903</v>
      </c>
      <c r="AE54" s="6">
        <v>120458.87806229699</v>
      </c>
      <c r="AF54" s="6">
        <v>146271.49478993201</v>
      </c>
      <c r="AG54" s="6">
        <v>251673.01309444301</v>
      </c>
      <c r="AH54" s="6">
        <v>376433.99394468003</v>
      </c>
      <c r="AI54" s="5">
        <v>505497.077582856</v>
      </c>
      <c r="AJ54" s="6">
        <v>577557.29928083695</v>
      </c>
      <c r="AK54" s="6">
        <v>742112.73091951106</v>
      </c>
      <c r="AL54" s="6">
        <v>915272.36813406495</v>
      </c>
      <c r="AM54" s="6">
        <v>1099187.26231846</v>
      </c>
      <c r="AN54" s="6">
        <v>1249760.8598963299</v>
      </c>
      <c r="AO54" s="6">
        <v>1322896.6072913001</v>
      </c>
      <c r="AP54" s="6">
        <v>1081978.8511667</v>
      </c>
      <c r="AQ54" s="6">
        <v>1981118.333846</v>
      </c>
      <c r="AR54" s="2">
        <f t="shared" si="0"/>
        <v>1277724.5280179405</v>
      </c>
    </row>
    <row r="55" spans="1:44" x14ac:dyDescent="0.25">
      <c r="A55">
        <v>2047</v>
      </c>
      <c r="B55" s="15">
        <v>24073439.8850713</v>
      </c>
      <c r="C55" s="6">
        <v>701703.654946152</v>
      </c>
      <c r="D55" s="6">
        <v>2107150.2552649998</v>
      </c>
      <c r="E55" s="6">
        <v>3401316.5231825099</v>
      </c>
      <c r="F55" s="6">
        <v>1471723.4956078101</v>
      </c>
      <c r="G55" s="6">
        <v>1706250.4466647599</v>
      </c>
      <c r="H55" s="6">
        <v>2185197.9404654</v>
      </c>
      <c r="I55" s="6">
        <v>3066882.20534092</v>
      </c>
      <c r="J55" s="6">
        <v>3404513.9720042502</v>
      </c>
      <c r="K55" s="6">
        <v>5351308.8207747601</v>
      </c>
      <c r="L55" s="6">
        <v>7306183.6772931004</v>
      </c>
      <c r="M55" s="5">
        <v>8947521.9004906192</v>
      </c>
      <c r="N55" s="6">
        <v>9313470.2818708792</v>
      </c>
      <c r="O55" s="6">
        <v>9880324.1350481603</v>
      </c>
      <c r="P55" s="6">
        <v>8992064.8031807691</v>
      </c>
      <c r="Q55" s="6">
        <v>6919463.1966573596</v>
      </c>
      <c r="R55" s="6">
        <v>4029928.7797693</v>
      </c>
      <c r="S55" s="6">
        <v>2961033.10586377</v>
      </c>
      <c r="T55" s="6">
        <v>2421788.0524381702</v>
      </c>
      <c r="U55" s="6">
        <v>4434327.6268301401</v>
      </c>
      <c r="V55" s="2">
        <f t="shared" si="1"/>
        <v>88602152.873693824</v>
      </c>
      <c r="X55" s="7">
        <v>11764083.969848</v>
      </c>
      <c r="Y55" s="6">
        <v>21175.351145726301</v>
      </c>
      <c r="Z55" s="5">
        <v>69408.095422103201</v>
      </c>
      <c r="AA55" s="6">
        <v>122346.473286419</v>
      </c>
      <c r="AB55" s="5">
        <v>52938.377864315997</v>
      </c>
      <c r="AC55" s="5">
        <v>67055.278628133601</v>
      </c>
      <c r="AD55" s="6">
        <v>85877.812979890296</v>
      </c>
      <c r="AE55" s="6">
        <v>131757.74046229699</v>
      </c>
      <c r="AF55" s="6">
        <v>159991.54198993201</v>
      </c>
      <c r="AG55" s="6">
        <v>275279.56489444303</v>
      </c>
      <c r="AH55" s="6">
        <v>411742.93894467998</v>
      </c>
      <c r="AI55" s="5">
        <v>552911.94658285601</v>
      </c>
      <c r="AJ55" s="6">
        <v>631731.30918083701</v>
      </c>
      <c r="AK55" s="6">
        <v>811721.79391951102</v>
      </c>
      <c r="AL55" s="6">
        <v>1001123.5458340599</v>
      </c>
      <c r="AM55" s="6">
        <v>1202289.38171846</v>
      </c>
      <c r="AN55" s="6">
        <v>1366986.5572963301</v>
      </c>
      <c r="AO55" s="6">
        <v>1446982.3282913</v>
      </c>
      <c r="AP55" s="6">
        <v>1183466.8473666999</v>
      </c>
      <c r="AQ55" s="6">
        <v>2166944.267246</v>
      </c>
      <c r="AR55" s="2">
        <f t="shared" si="0"/>
        <v>1397573.1756179405</v>
      </c>
    </row>
    <row r="56" spans="1:44" x14ac:dyDescent="0.25">
      <c r="A56">
        <v>2048</v>
      </c>
      <c r="B56" s="15">
        <v>29285552.580768</v>
      </c>
      <c r="C56" s="6">
        <v>765632.90808077203</v>
      </c>
      <c r="D56" s="6">
        <v>2300028.6467679399</v>
      </c>
      <c r="E56" s="6">
        <v>3714298.7550434</v>
      </c>
      <c r="F56" s="6">
        <v>1607148.4997783899</v>
      </c>
      <c r="G56" s="6">
        <v>1864183.0944365701</v>
      </c>
      <c r="H56" s="6">
        <v>2387462.5595415798</v>
      </c>
      <c r="I56" s="6">
        <v>3352632.45660464</v>
      </c>
      <c r="J56" s="6">
        <v>3724071.2493440998</v>
      </c>
      <c r="K56" s="5">
        <v>5857766.6871397803</v>
      </c>
      <c r="L56" s="5">
        <v>8004094.3901512399</v>
      </c>
      <c r="M56" s="6">
        <v>9811160.9386436995</v>
      </c>
      <c r="N56" s="6">
        <v>10223019.7056529</v>
      </c>
      <c r="O56" s="6">
        <v>10884100.3796193</v>
      </c>
      <c r="P56" s="6">
        <v>9975570.4316340704</v>
      </c>
      <c r="Q56" s="6">
        <v>7775889.4503444098</v>
      </c>
      <c r="R56" s="6">
        <v>4683279.0252398504</v>
      </c>
      <c r="S56" s="6">
        <v>2988923.9634431498</v>
      </c>
      <c r="T56" s="6">
        <v>2444599.5993689499</v>
      </c>
      <c r="U56" s="6">
        <v>4476095.8867173102</v>
      </c>
      <c r="V56" s="2">
        <f t="shared" si="1"/>
        <v>96839958.627552047</v>
      </c>
      <c r="X56" s="7">
        <v>12862695.969848</v>
      </c>
      <c r="Y56" s="6">
        <v>23152.852745726301</v>
      </c>
      <c r="Z56" s="5">
        <v>75889.906222103207</v>
      </c>
      <c r="AA56" s="6">
        <v>133772.03808641899</v>
      </c>
      <c r="AB56" s="5">
        <v>57882.131864315998</v>
      </c>
      <c r="AC56" s="5">
        <v>73317.367028133594</v>
      </c>
      <c r="AD56" s="6">
        <v>93897.680579890293</v>
      </c>
      <c r="AE56" s="6">
        <v>144062.19486229701</v>
      </c>
      <c r="AF56" s="6">
        <v>174932.66518993201</v>
      </c>
      <c r="AG56" s="6">
        <v>300987.08569444303</v>
      </c>
      <c r="AH56" s="6">
        <v>450194.35894468002</v>
      </c>
      <c r="AI56" s="5">
        <v>604546.71058285597</v>
      </c>
      <c r="AJ56" s="6">
        <v>690726.77358083695</v>
      </c>
      <c r="AK56" s="6">
        <v>887526.02191951103</v>
      </c>
      <c r="AL56" s="6">
        <v>1094615.42703406</v>
      </c>
      <c r="AM56" s="6">
        <v>1314567.52811846</v>
      </c>
      <c r="AN56" s="6">
        <v>1494645.27169633</v>
      </c>
      <c r="AO56" s="6">
        <v>1582111.6042913001</v>
      </c>
      <c r="AP56" s="6">
        <v>1293987.2145666999</v>
      </c>
      <c r="AQ56" s="6">
        <v>2369308.5976459999</v>
      </c>
      <c r="AR56" s="2">
        <f t="shared" si="0"/>
        <v>1528088.2812179406</v>
      </c>
    </row>
    <row r="57" spans="1:44" x14ac:dyDescent="0.25">
      <c r="A57">
        <v>2049</v>
      </c>
      <c r="B57" s="15">
        <v>34735612.605561897</v>
      </c>
      <c r="C57" s="6">
        <v>835093.87708001595</v>
      </c>
      <c r="D57" s="6">
        <v>2509574.5320425299</v>
      </c>
      <c r="E57" s="6">
        <v>4054287.7841333202</v>
      </c>
      <c r="F57" s="6">
        <v>1754259.1373653801</v>
      </c>
      <c r="G57" s="6">
        <v>2035721.4330526399</v>
      </c>
      <c r="H57" s="6">
        <v>2607152.0107516302</v>
      </c>
      <c r="I57" s="6">
        <v>3662956.2557352302</v>
      </c>
      <c r="J57" s="6">
        <v>4071053.6973073198</v>
      </c>
      <c r="K57" s="6">
        <v>6407593.1790346103</v>
      </c>
      <c r="L57" s="6">
        <v>8761616.8398513701</v>
      </c>
      <c r="M57" s="6">
        <v>10748355.32453</v>
      </c>
      <c r="N57" s="6">
        <v>11209773.245187899</v>
      </c>
      <c r="O57" s="6">
        <v>11967028.895204401</v>
      </c>
      <c r="P57" s="6">
        <v>11037789.588090699</v>
      </c>
      <c r="Q57" s="5">
        <v>8699304.7706371602</v>
      </c>
      <c r="R57" s="6">
        <v>5375770.4788047299</v>
      </c>
      <c r="S57" s="5">
        <v>3614939.4131790102</v>
      </c>
      <c r="T57" s="6">
        <v>2956608.9834618499</v>
      </c>
      <c r="U57" s="6">
        <v>5413592.1943705101</v>
      </c>
      <c r="V57" s="2">
        <f t="shared" si="1"/>
        <v>107722471.63982031</v>
      </c>
      <c r="X57" s="7">
        <v>14059084.969848</v>
      </c>
      <c r="Y57" s="6">
        <v>25306.352945726299</v>
      </c>
      <c r="Z57" s="5">
        <v>82948.601322103204</v>
      </c>
      <c r="AA57" s="6">
        <v>146214.483686419</v>
      </c>
      <c r="AB57" s="5">
        <v>63265.882364315999</v>
      </c>
      <c r="AC57" s="5">
        <v>80136.784328133595</v>
      </c>
      <c r="AD57" s="6">
        <v>102631.32027989</v>
      </c>
      <c r="AE57" s="6">
        <v>157461.751662297</v>
      </c>
      <c r="AF57" s="6">
        <v>191203.55558993199</v>
      </c>
      <c r="AG57" s="6">
        <v>328982.58829444298</v>
      </c>
      <c r="AH57" s="6">
        <v>492067.97394468001</v>
      </c>
      <c r="AI57" s="5">
        <v>660776.99358285603</v>
      </c>
      <c r="AJ57" s="6">
        <v>754972.86288083706</v>
      </c>
      <c r="AK57" s="6">
        <v>970076.86291951104</v>
      </c>
      <c r="AL57" s="6">
        <v>1196428.1309340601</v>
      </c>
      <c r="AM57" s="6">
        <v>1436838.4839184601</v>
      </c>
      <c r="AN57" s="6">
        <v>1633665.6734963299</v>
      </c>
      <c r="AO57" s="6">
        <v>1729267.4512912999</v>
      </c>
      <c r="AP57" s="6">
        <v>1414343.9479667</v>
      </c>
      <c r="AQ57" s="6">
        <v>2589683.451446</v>
      </c>
      <c r="AR57" s="2">
        <f t="shared" si="0"/>
        <v>1670219.2944179401</v>
      </c>
    </row>
    <row r="58" spans="1:44" x14ac:dyDescent="0.25">
      <c r="A58">
        <v>2050</v>
      </c>
      <c r="B58" s="15">
        <v>40361866.583094798</v>
      </c>
      <c r="C58" s="6">
        <v>910572.53559576499</v>
      </c>
      <c r="D58" s="6">
        <v>2737252.15265116</v>
      </c>
      <c r="E58" s="6">
        <v>4423656.8022444602</v>
      </c>
      <c r="F58" s="6">
        <v>1914082.2702019301</v>
      </c>
      <c r="G58" s="6">
        <v>2222061.5739961602</v>
      </c>
      <c r="H58" s="6">
        <v>2845798.15617052</v>
      </c>
      <c r="I58" s="6">
        <v>4000014.0438931398</v>
      </c>
      <c r="J58" s="6">
        <v>4447875.4533946104</v>
      </c>
      <c r="K58" s="6">
        <v>7004607.0968550602</v>
      </c>
      <c r="L58" s="6">
        <v>9584006.8918404803</v>
      </c>
      <c r="M58" s="6">
        <v>11765599.7570369</v>
      </c>
      <c r="N58" s="6">
        <v>12280567.682043999</v>
      </c>
      <c r="O58" s="6">
        <v>13135723.6890586</v>
      </c>
      <c r="P58" s="6">
        <v>12185734.235250199</v>
      </c>
      <c r="Q58" s="6">
        <v>9704280.9683079291</v>
      </c>
      <c r="R58" s="6">
        <v>6145461.8637800096</v>
      </c>
      <c r="S58" s="6">
        <v>3638977.6455067098</v>
      </c>
      <c r="T58" s="6">
        <v>2976269.5214469498</v>
      </c>
      <c r="U58" s="5">
        <v>5449590.9130271301</v>
      </c>
      <c r="V58" s="2">
        <f t="shared" si="1"/>
        <v>117372133.25230169</v>
      </c>
      <c r="X58" s="7">
        <v>15361951.969848</v>
      </c>
      <c r="Y58" s="6">
        <v>27651.513545726299</v>
      </c>
      <c r="Z58" s="5">
        <v>90635.516622103198</v>
      </c>
      <c r="AA58" s="6">
        <v>159764.300486419</v>
      </c>
      <c r="AB58" s="5">
        <v>69128.783864316007</v>
      </c>
      <c r="AC58" s="5">
        <v>87563.126228133595</v>
      </c>
      <c r="AD58" s="6">
        <v>112142.24937989</v>
      </c>
      <c r="AE58" s="6">
        <v>172053.862062297</v>
      </c>
      <c r="AF58" s="6">
        <v>208922.54678993201</v>
      </c>
      <c r="AG58" s="6">
        <v>359469.67609444301</v>
      </c>
      <c r="AH58" s="5">
        <v>537668.31894468004</v>
      </c>
      <c r="AI58" s="5">
        <v>722011.74258285598</v>
      </c>
      <c r="AJ58" s="6">
        <v>824936.82078083698</v>
      </c>
      <c r="AK58" s="6">
        <v>1059974.68591951</v>
      </c>
      <c r="AL58" s="6">
        <v>1307302.11263406</v>
      </c>
      <c r="AM58" s="6">
        <v>1569991.4913184601</v>
      </c>
      <c r="AN58" s="6">
        <v>1785058.81889633</v>
      </c>
      <c r="AO58" s="6">
        <v>1889520.0922913</v>
      </c>
      <c r="AP58" s="6">
        <v>1545412.3681667</v>
      </c>
      <c r="AQ58" s="6">
        <v>2829671.5528460001</v>
      </c>
      <c r="AR58" s="2">
        <f t="shared" si="0"/>
        <v>1824999.8940179404</v>
      </c>
    </row>
  </sheetData>
  <mergeCells count="2">
    <mergeCell ref="C1:U1"/>
    <mergeCell ref="X1:AQ1"/>
  </mergeCells>
  <pageMargins left="0.7" right="0.7" top="0.75" bottom="0.75" header="0.3" footer="0.3"/>
  <pageSetup orientation="portrait" horizontalDpi="360" verticalDpi="360" r:id="rId1"/>
  <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2025-10-02T13:06:38Z</dcterms:created>
  <dcterms:modified xsi:type="dcterms:W3CDTF">2025-10-02T18:46:31Z</dcterms:modified>
</cp:coreProperties>
</file>