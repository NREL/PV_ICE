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1_{5294A256-FFC8-4539-85F1-BE73BA94EF74}" xr6:coauthVersionLast="47" xr6:coauthVersionMax="47" xr10:uidLastSave="{00000000-0000-0000-0000-000000000000}"/>
  <bookViews>
    <workbookView xWindow="-28920" yWindow="-120" windowWidth="29040" windowHeight="15720" xr2:uid="{D931EBBB-F0C0-4C12-9066-9D55B5844573}"/>
  </bookViews>
  <sheets>
    <sheet name="Mass-PowerFactorLitCompare-202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0" i="5" l="1"/>
  <c r="M41" i="5"/>
  <c r="M42" i="5"/>
  <c r="M64" i="5"/>
  <c r="M65" i="5"/>
  <c r="M66" i="5"/>
  <c r="K18" i="5"/>
  <c r="I18" i="5"/>
  <c r="M18" i="5" s="1"/>
  <c r="I19" i="5"/>
  <c r="M19" i="5" s="1"/>
  <c r="I20" i="5"/>
  <c r="I21" i="5"/>
  <c r="I22" i="5"/>
  <c r="M22" i="5" s="1"/>
  <c r="I23" i="5"/>
  <c r="M23" i="5" s="1"/>
  <c r="I24" i="5"/>
  <c r="I25" i="5"/>
  <c r="I26" i="5"/>
  <c r="I27" i="5"/>
  <c r="I28" i="5"/>
  <c r="I29" i="5"/>
  <c r="I30" i="5"/>
  <c r="I31" i="5"/>
  <c r="M31" i="5" s="1"/>
  <c r="I32" i="5"/>
  <c r="I33" i="5"/>
  <c r="I34" i="5"/>
  <c r="M34" i="5" s="1"/>
  <c r="I35" i="5"/>
  <c r="M35" i="5" s="1"/>
  <c r="I36" i="5"/>
  <c r="I37" i="5"/>
  <c r="I38" i="5"/>
  <c r="I39" i="5"/>
  <c r="I40" i="5"/>
  <c r="I41" i="5"/>
  <c r="I42" i="5"/>
  <c r="I43" i="5"/>
  <c r="M43" i="5" s="1"/>
  <c r="I44" i="5"/>
  <c r="I45" i="5"/>
  <c r="I46" i="5"/>
  <c r="M46" i="5" s="1"/>
  <c r="I47" i="5"/>
  <c r="M47" i="5" s="1"/>
  <c r="I48" i="5"/>
  <c r="I49" i="5"/>
  <c r="I50" i="5"/>
  <c r="I51" i="5"/>
  <c r="I52" i="5"/>
  <c r="I53" i="5"/>
  <c r="I54" i="5"/>
  <c r="I55" i="5"/>
  <c r="M55" i="5" s="1"/>
  <c r="I56" i="5"/>
  <c r="I57" i="5"/>
  <c r="I58" i="5"/>
  <c r="M58" i="5" s="1"/>
  <c r="I59" i="5"/>
  <c r="M59" i="5" s="1"/>
  <c r="I60" i="5"/>
  <c r="I61" i="5"/>
  <c r="I62" i="5"/>
  <c r="I63" i="5"/>
  <c r="I64" i="5"/>
  <c r="I65" i="5"/>
  <c r="I66" i="5"/>
  <c r="I67" i="5"/>
  <c r="M67" i="5" s="1"/>
  <c r="I68" i="5"/>
  <c r="I69" i="5"/>
  <c r="I70" i="5"/>
  <c r="M70" i="5" s="1"/>
  <c r="I71" i="5"/>
  <c r="M71" i="5" s="1"/>
  <c r="I72" i="5"/>
  <c r="I73" i="5"/>
  <c r="K73" i="5"/>
  <c r="M73" i="5" s="1"/>
  <c r="K72" i="5"/>
  <c r="M72" i="5" s="1"/>
  <c r="K71" i="5"/>
  <c r="K70" i="5"/>
  <c r="K69" i="5"/>
  <c r="M69" i="5" s="1"/>
  <c r="K68" i="5"/>
  <c r="K67" i="5"/>
  <c r="K66" i="5"/>
  <c r="K65" i="5"/>
  <c r="K64" i="5"/>
  <c r="K63" i="5"/>
  <c r="M63" i="5" s="1"/>
  <c r="K62" i="5"/>
  <c r="M62" i="5" s="1"/>
  <c r="K61" i="5"/>
  <c r="M61" i="5" s="1"/>
  <c r="K60" i="5"/>
  <c r="M60" i="5" s="1"/>
  <c r="K59" i="5"/>
  <c r="K58" i="5"/>
  <c r="K57" i="5"/>
  <c r="M57" i="5" s="1"/>
  <c r="K56" i="5"/>
  <c r="K55" i="5"/>
  <c r="K54" i="5"/>
  <c r="M54" i="5" s="1"/>
  <c r="K53" i="5"/>
  <c r="M53" i="5" s="1"/>
  <c r="K52" i="5"/>
  <c r="M52" i="5" s="1"/>
  <c r="K51" i="5"/>
  <c r="M51" i="5" s="1"/>
  <c r="K50" i="5"/>
  <c r="M50" i="5" s="1"/>
  <c r="K49" i="5"/>
  <c r="M49" i="5" s="1"/>
  <c r="K48" i="5"/>
  <c r="M48" i="5" s="1"/>
  <c r="K47" i="5"/>
  <c r="K46" i="5"/>
  <c r="K45" i="5"/>
  <c r="M45" i="5" s="1"/>
  <c r="K44" i="5"/>
  <c r="K43" i="5"/>
  <c r="K42" i="5"/>
  <c r="K41" i="5"/>
  <c r="K40" i="5"/>
  <c r="K39" i="5"/>
  <c r="M39" i="5" s="1"/>
  <c r="K38" i="5"/>
  <c r="M38" i="5" s="1"/>
  <c r="K37" i="5"/>
  <c r="M37" i="5" s="1"/>
  <c r="K36" i="5"/>
  <c r="M36" i="5" s="1"/>
  <c r="K35" i="5"/>
  <c r="K34" i="5"/>
  <c r="K33" i="5"/>
  <c r="M33" i="5" s="1"/>
  <c r="K32" i="5"/>
  <c r="K31" i="5"/>
  <c r="K30" i="5"/>
  <c r="M30" i="5" s="1"/>
  <c r="K29" i="5"/>
  <c r="M29" i="5" s="1"/>
  <c r="K28" i="5"/>
  <c r="M28" i="5" s="1"/>
  <c r="K27" i="5"/>
  <c r="M27" i="5" s="1"/>
  <c r="K26" i="5"/>
  <c r="M26" i="5" s="1"/>
  <c r="K25" i="5"/>
  <c r="M25" i="5" s="1"/>
  <c r="K24" i="5"/>
  <c r="M24" i="5" s="1"/>
  <c r="K23" i="5"/>
  <c r="K22" i="5"/>
  <c r="K21" i="5"/>
  <c r="M21" i="5" s="1"/>
  <c r="K20" i="5"/>
  <c r="K19" i="5"/>
  <c r="M68" i="5" l="1"/>
  <c r="M56" i="5"/>
  <c r="M44" i="5"/>
  <c r="M32" i="5"/>
  <c r="M20" i="5"/>
</calcChain>
</file>

<file path=xl/sharedStrings.xml><?xml version="1.0" encoding="utf-8"?>
<sst xmlns="http://schemas.openxmlformats.org/spreadsheetml/2006/main" count="23" uniqueCount="23">
  <si>
    <t>Year</t>
  </si>
  <si>
    <t>Glass</t>
  </si>
  <si>
    <t>Silicon</t>
  </si>
  <si>
    <t>Aluminium</t>
  </si>
  <si>
    <t>Copper</t>
  </si>
  <si>
    <t>Silver</t>
  </si>
  <si>
    <t>Total Mass g/m^2</t>
  </si>
  <si>
    <t>Module Power W/m^2</t>
  </si>
  <si>
    <t>IRENA 2016 Fit Equation</t>
  </si>
  <si>
    <t>IRENA 2016 Fitted Data</t>
  </si>
  <si>
    <t>Sander et al 2007</t>
  </si>
  <si>
    <t>Paiano et al 2015</t>
  </si>
  <si>
    <t>Dominguez and Geyer 2017</t>
  </si>
  <si>
    <t>Kim and Park 2018</t>
  </si>
  <si>
    <t>Dominguez and Geyer 2019</t>
  </si>
  <si>
    <t>Heath et al 2020</t>
  </si>
  <si>
    <t>Average Module Efficiency</t>
  </si>
  <si>
    <t>Encapsulant</t>
  </si>
  <si>
    <t>Backsheets</t>
  </si>
  <si>
    <t xml:space="preserve">PV ICE </t>
  </si>
  <si>
    <t>PV ICE Mass per Module m^2</t>
  </si>
  <si>
    <t>PV ICE</t>
  </si>
  <si>
    <t>Mass per Power Factor Graphing [tonnes/MW]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</si>
</sst>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2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1" fillId="3" borderId="1" xfId="0" applyFont="1" applyFill="1" applyBorder="1"/>
    <xf numFmtId="2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 b="1"/>
              <a:t>Mass-Power Factor over Time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1071995009122"/>
          <c:y val="8.1424119735727829E-2"/>
          <c:w val="0.85037198123113"/>
          <c:h val="0.83986747574814713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'Mass-PowerFactorLitCompare-2025'!$M$2</c:f>
              <c:strCache>
                <c:ptCount val="1"/>
                <c:pt idx="0">
                  <c:v>PV ICE </c:v>
                </c:pt>
              </c:strCache>
            </c:strRef>
          </c:tx>
          <c:spPr>
            <a:ln w="381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'Mass-PowerFactorLitCompare-2025'!$M$3:$M$73</c:f>
              <c:numCache>
                <c:formatCode>General</c:formatCode>
                <c:ptCount val="71"/>
                <c:pt idx="15" formatCode="0.00">
                  <c:v>104.4718627088</c:v>
                </c:pt>
                <c:pt idx="16" formatCode="0.00">
                  <c:v>102.13881644779528</c:v>
                </c:pt>
                <c:pt idx="17" formatCode="0.00">
                  <c:v>98.141528393944071</c:v>
                </c:pt>
                <c:pt idx="18" formatCode="0.00">
                  <c:v>95.462612882159277</c:v>
                </c:pt>
                <c:pt idx="19" formatCode="0.00">
                  <c:v>93.641685798262841</c:v>
                </c:pt>
                <c:pt idx="20" formatCode="0.00">
                  <c:v>91.716316635842034</c:v>
                </c:pt>
                <c:pt idx="21" formatCode="0.00">
                  <c:v>90.070230173602937</c:v>
                </c:pt>
                <c:pt idx="22" formatCode="0.00">
                  <c:v>88.867200815525052</c:v>
                </c:pt>
                <c:pt idx="23" formatCode="0.00">
                  <c:v>87.798463378354256</c:v>
                </c:pt>
                <c:pt idx="24" formatCode="0.00">
                  <c:v>86.4967220118385</c:v>
                </c:pt>
                <c:pt idx="25" formatCode="0.00">
                  <c:v>83.938933683080521</c:v>
                </c:pt>
                <c:pt idx="26" formatCode="0.00">
                  <c:v>82.355845498980131</c:v>
                </c:pt>
                <c:pt idx="27" formatCode="0.00">
                  <c:v>81.460101474734913</c:v>
                </c:pt>
                <c:pt idx="28" formatCode="0.00">
                  <c:v>80.588996718642889</c:v>
                </c:pt>
                <c:pt idx="29" formatCode="0.00">
                  <c:v>79.900947944069983</c:v>
                </c:pt>
                <c:pt idx="30" formatCode="0.00">
                  <c:v>79.229286656938754</c:v>
                </c:pt>
                <c:pt idx="31" formatCode="0.00">
                  <c:v>77.154757243774824</c:v>
                </c:pt>
                <c:pt idx="32" formatCode="0.00">
                  <c:v>76.276758012655833</c:v>
                </c:pt>
                <c:pt idx="33" formatCode="0.00">
                  <c:v>71.88717062258749</c:v>
                </c:pt>
                <c:pt idx="34" formatCode="0.00">
                  <c:v>71.249003719889586</c:v>
                </c:pt>
                <c:pt idx="35" formatCode="0.00">
                  <c:v>67.469187389982352</c:v>
                </c:pt>
                <c:pt idx="36" formatCode="0.00">
                  <c:v>64.813125295479992</c:v>
                </c:pt>
                <c:pt idx="37" formatCode="0.00">
                  <c:v>64.567725194655353</c:v>
                </c:pt>
                <c:pt idx="38" formatCode="0.00">
                  <c:v>62.262467682999997</c:v>
                </c:pt>
                <c:pt idx="39" formatCode="0.00">
                  <c:v>60.834339789020817</c:v>
                </c:pt>
                <c:pt idx="40" formatCode="0.00">
                  <c:v>60.041420035710004</c:v>
                </c:pt>
                <c:pt idx="41" formatCode="0.00">
                  <c:v>58.258421370205738</c:v>
                </c:pt>
                <c:pt idx="42" formatCode="0.00">
                  <c:v>59.024387422611383</c:v>
                </c:pt>
                <c:pt idx="43" formatCode="0.00">
                  <c:v>57.739884122238536</c:v>
                </c:pt>
                <c:pt idx="44" formatCode="0.00">
                  <c:v>56.619369307016946</c:v>
                </c:pt>
                <c:pt idx="45" formatCode="0.00">
                  <c:v>55.232131920926086</c:v>
                </c:pt>
                <c:pt idx="46" formatCode="0.00">
                  <c:v>54.144636419043586</c:v>
                </c:pt>
                <c:pt idx="47" formatCode="0.00">
                  <c:v>53.911808839136057</c:v>
                </c:pt>
                <c:pt idx="48" formatCode="0.00">
                  <c:v>53.762386662596285</c:v>
                </c:pt>
                <c:pt idx="49" formatCode="0.00">
                  <c:v>53.719033720408291</c:v>
                </c:pt>
                <c:pt idx="50" formatCode="0.00">
                  <c:v>53.109593720382428</c:v>
                </c:pt>
                <c:pt idx="51" formatCode="0.00">
                  <c:v>52.540053132046204</c:v>
                </c:pt>
                <c:pt idx="52" formatCode="0.00">
                  <c:v>52.30806961790389</c:v>
                </c:pt>
                <c:pt idx="53" formatCode="0.00">
                  <c:v>52.09909752756829</c:v>
                </c:pt>
                <c:pt idx="54" formatCode="0.00">
                  <c:v>51.909049986780097</c:v>
                </c:pt>
                <c:pt idx="55" formatCode="0.00">
                  <c:v>51.734835470689312</c:v>
                </c:pt>
                <c:pt idx="56" formatCode="0.00">
                  <c:v>51.574059342075437</c:v>
                </c:pt>
                <c:pt idx="57" formatCode="0.00">
                  <c:v>51.424829477722405</c:v>
                </c:pt>
                <c:pt idx="58" formatCode="0.00">
                  <c:v>51.285625152671216</c:v>
                </c:pt>
                <c:pt idx="59" formatCode="0.00">
                  <c:v>51.155206069017765</c:v>
                </c:pt>
                <c:pt idx="60" formatCode="0.00">
                  <c:v>51.032547426564904</c:v>
                </c:pt>
                <c:pt idx="61" formatCode="0.00">
                  <c:v>50.91679302185603</c:v>
                </c:pt>
                <c:pt idx="62" formatCode="0.00">
                  <c:v>50.807220109205851</c:v>
                </c:pt>
                <c:pt idx="63" formatCode="0.00">
                  <c:v>50.703213212139559</c:v>
                </c:pt>
                <c:pt idx="64" formatCode="0.00">
                  <c:v>50.604243927819553</c:v>
                </c:pt>
                <c:pt idx="65" formatCode="0.00">
                  <c:v>50.509855263768408</c:v>
                </c:pt>
                <c:pt idx="66" formatCode="0.00">
                  <c:v>50.419649345987175</c:v>
                </c:pt>
                <c:pt idx="67" formatCode="0.00">
                  <c:v>50.333277729929257</c:v>
                </c:pt>
                <c:pt idx="68" formatCode="0.00">
                  <c:v>50.250433471191378</c:v>
                </c:pt>
                <c:pt idx="69" formatCode="0.00">
                  <c:v>50.170844933729924</c:v>
                </c:pt>
                <c:pt idx="70" formatCode="0.00">
                  <c:v>50.094270406998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F-4663-8B57-831807E5FF73}"/>
            </c:ext>
          </c:extLst>
        </c:ser>
        <c:ser>
          <c:idx val="1"/>
          <c:order val="1"/>
          <c:tx>
            <c:strRef>
              <c:f>'Mass-PowerFactorLitCompare-2025'!$N$2</c:f>
              <c:strCache>
                <c:ptCount val="1"/>
                <c:pt idx="0">
                  <c:v>IRENA 2016 Fit Equation</c:v>
                </c:pt>
              </c:strCache>
            </c:strRef>
          </c:tx>
          <c:spPr>
            <a:ln w="38100" cap="rnd">
              <a:solidFill>
                <a:srgbClr val="19809E"/>
              </a:solidFill>
              <a:round/>
            </a:ln>
            <a:effectLst/>
          </c:spPr>
          <c:marker>
            <c:symbol val="none"/>
          </c:marker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'Mass-PowerFactorLitCompare-2025'!$N$3:$N$73</c:f>
              <c:numCache>
                <c:formatCode>General</c:formatCode>
                <c:ptCount val="71"/>
                <c:pt idx="0">
                  <c:v>168.3042968</c:v>
                </c:pt>
                <c:pt idx="1">
                  <c:v>164.73019289999999</c:v>
                </c:pt>
                <c:pt idx="2">
                  <c:v>161.23198859999999</c:v>
                </c:pt>
                <c:pt idx="3">
                  <c:v>157.80807200000001</c:v>
                </c:pt>
                <c:pt idx="4">
                  <c:v>154.45686559999999</c:v>
                </c:pt>
                <c:pt idx="5">
                  <c:v>151.1768252</c:v>
                </c:pt>
                <c:pt idx="6">
                  <c:v>147.9664397</c:v>
                </c:pt>
                <c:pt idx="7">
                  <c:v>144.82422980000001</c:v>
                </c:pt>
                <c:pt idx="8">
                  <c:v>141.74874779999999</c:v>
                </c:pt>
                <c:pt idx="9">
                  <c:v>138.73857659999999</c:v>
                </c:pt>
                <c:pt idx="10">
                  <c:v>135.79232930000001</c:v>
                </c:pt>
                <c:pt idx="11">
                  <c:v>132.9086484</c:v>
                </c:pt>
                <c:pt idx="12">
                  <c:v>130.08620519999999</c:v>
                </c:pt>
                <c:pt idx="13">
                  <c:v>127.3236993</c:v>
                </c:pt>
                <c:pt idx="14">
                  <c:v>124.6198579</c:v>
                </c:pt>
                <c:pt idx="15" formatCode="0.00">
                  <c:v>121.9734352</c:v>
                </c:pt>
                <c:pt idx="16" formatCode="0.00">
                  <c:v>119.3832118</c:v>
                </c:pt>
                <c:pt idx="17" formatCode="0.00">
                  <c:v>116.8479943</c:v>
                </c:pt>
                <c:pt idx="18" formatCode="0.00">
                  <c:v>114.36661460000001</c:v>
                </c:pt>
                <c:pt idx="19" formatCode="0.00">
                  <c:v>111.9379294</c:v>
                </c:pt>
                <c:pt idx="20" formatCode="0.00">
                  <c:v>109.5608196</c:v>
                </c:pt>
                <c:pt idx="21" formatCode="0.00">
                  <c:v>107.23419010000001</c:v>
                </c:pt>
                <c:pt idx="22" formatCode="0.00">
                  <c:v>104.9569687</c:v>
                </c:pt>
                <c:pt idx="23" formatCode="0.00">
                  <c:v>102.7281064</c:v>
                </c:pt>
                <c:pt idx="24" formatCode="0.00">
                  <c:v>100.5465761</c:v>
                </c:pt>
                <c:pt idx="25" formatCode="0.00">
                  <c:v>98.411372709999995</c:v>
                </c:pt>
                <c:pt idx="26" formatCode="0.00">
                  <c:v>96.321512409999997</c:v>
                </c:pt>
                <c:pt idx="27" formatCode="0.00">
                  <c:v>94.276032310000005</c:v>
                </c:pt>
                <c:pt idx="28" formatCode="0.00">
                  <c:v>92.273989950000001</c:v>
                </c:pt>
                <c:pt idx="29" formatCode="0.00">
                  <c:v>90.314462890000001</c:v>
                </c:pt>
                <c:pt idx="30" formatCode="0.00">
                  <c:v>88.396548280000005</c:v>
                </c:pt>
                <c:pt idx="31" formatCode="0.00">
                  <c:v>86.519362419999993</c:v>
                </c:pt>
                <c:pt idx="32" formatCode="0.00">
                  <c:v>84.682040420000007</c:v>
                </c:pt>
                <c:pt idx="33" formatCode="0.00">
                  <c:v>82.883735720000004</c:v>
                </c:pt>
                <c:pt idx="34" formatCode="0.00">
                  <c:v>81.123619750000003</c:v>
                </c:pt>
                <c:pt idx="35" formatCode="0.00">
                  <c:v>79.40088154</c:v>
                </c:pt>
                <c:pt idx="36" formatCode="0.00">
                  <c:v>77.714727339999996</c:v>
                </c:pt>
                <c:pt idx="37" formatCode="0.00">
                  <c:v>76.064380240000006</c:v>
                </c:pt>
                <c:pt idx="38" formatCode="0.00">
                  <c:v>74.449079859999998</c:v>
                </c:pt>
                <c:pt idx="39" formatCode="0.00">
                  <c:v>72.868081930000002</c:v>
                </c:pt>
                <c:pt idx="40" formatCode="0.00">
                  <c:v>71.320658019999996</c:v>
                </c:pt>
                <c:pt idx="41" formatCode="0.00">
                  <c:v>69.806095139999996</c:v>
                </c:pt>
                <c:pt idx="42" formatCode="0.00">
                  <c:v>68.323695470000004</c:v>
                </c:pt>
                <c:pt idx="43" formatCode="0.00">
                  <c:v>66.87277598</c:v>
                </c:pt>
                <c:pt idx="44" formatCode="0.00">
                  <c:v>65.452668169999995</c:v>
                </c:pt>
                <c:pt idx="45" formatCode="0.00">
                  <c:v>64.062717710000001</c:v>
                </c:pt>
                <c:pt idx="46" formatCode="0.00">
                  <c:v>62.70228419</c:v>
                </c:pt>
                <c:pt idx="47" formatCode="0.00">
                  <c:v>61.370740789999999</c:v>
                </c:pt>
                <c:pt idx="48" formatCode="0.00">
                  <c:v>60.067473990000003</c:v>
                </c:pt>
                <c:pt idx="49" formatCode="0.00">
                  <c:v>58.791883319999997</c:v>
                </c:pt>
                <c:pt idx="50" formatCode="0.00">
                  <c:v>57.54338104</c:v>
                </c:pt>
                <c:pt idx="51" formatCode="0.00">
                  <c:v>56.321391920000003</c:v>
                </c:pt>
                <c:pt idx="52" formatCode="0.00">
                  <c:v>55.125352909999997</c:v>
                </c:pt>
                <c:pt idx="53" formatCode="0.00">
                  <c:v>53.95471294</c:v>
                </c:pt>
                <c:pt idx="54" formatCode="0.00">
                  <c:v>52.808932630000001</c:v>
                </c:pt>
                <c:pt idx="55" formatCode="0.00">
                  <c:v>51.687484079999997</c:v>
                </c:pt>
                <c:pt idx="56" formatCode="0.00">
                  <c:v>50.589850570000003</c:v>
                </c:pt>
                <c:pt idx="57" formatCode="0.00">
                  <c:v>49.515526360000003</c:v>
                </c:pt>
                <c:pt idx="58" formatCode="0.00">
                  <c:v>48.464016460000003</c:v>
                </c:pt>
                <c:pt idx="59" formatCode="0.00">
                  <c:v>47.43483638</c:v>
                </c:pt>
                <c:pt idx="60" formatCode="0.00">
                  <c:v>46.427511940000002</c:v>
                </c:pt>
                <c:pt idx="61" formatCode="0.00">
                  <c:v>45.441578999999997</c:v>
                </c:pt>
                <c:pt idx="62" formatCode="0.00">
                  <c:v>44.476583300000001</c:v>
                </c:pt>
                <c:pt idx="63" formatCode="0.00">
                  <c:v>43.532080209999997</c:v>
                </c:pt>
                <c:pt idx="64" formatCode="0.00">
                  <c:v>42.60763455</c:v>
                </c:pt>
                <c:pt idx="65" formatCode="0.00">
                  <c:v>41.702820389999999</c:v>
                </c:pt>
                <c:pt idx="66" formatCode="0.00">
                  <c:v>40.817220829999997</c:v>
                </c:pt>
                <c:pt idx="67" formatCode="0.00">
                  <c:v>39.950427830000002</c:v>
                </c:pt>
                <c:pt idx="68" formatCode="0.00">
                  <c:v>39.102042009999998</c:v>
                </c:pt>
                <c:pt idx="69" formatCode="0.00">
                  <c:v>38.271672479999999</c:v>
                </c:pt>
                <c:pt idx="70" formatCode="0.00">
                  <c:v>37.458936649999998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1F-4663-8B57-831807E5FF73}"/>
            </c:ext>
          </c:extLst>
        </c:ser>
        <c:ser>
          <c:idx val="2"/>
          <c:order val="2"/>
          <c:tx>
            <c:strRef>
              <c:f>'Mass-PowerFactorLitCompare-2025'!$O$2</c:f>
              <c:strCache>
                <c:ptCount val="1"/>
                <c:pt idx="0">
                  <c:v>IRENA 2016 Fitted Data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gradFill flip="none" rotWithShape="1">
                <a:gsLst>
                  <a:gs pos="0">
                    <a:schemeClr val="tx1">
                      <a:lumMod val="85000"/>
                      <a:lumOff val="15000"/>
                    </a:schemeClr>
                  </a:gs>
                  <a:gs pos="72000">
                    <a:schemeClr val="bg1">
                      <a:lumMod val="7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'Mass-PowerFactorLitCompare-2025'!$O$3:$O$73</c:f>
              <c:numCache>
                <c:formatCode>General</c:formatCode>
                <c:ptCount val="71"/>
                <c:pt idx="0">
                  <c:v>170</c:v>
                </c:pt>
                <c:pt idx="10">
                  <c:v>145</c:v>
                </c:pt>
                <c:pt idx="14">
                  <c:v>125</c:v>
                </c:pt>
                <c:pt idx="20" formatCode="0.00">
                  <c:v>110</c:v>
                </c:pt>
                <c:pt idx="25" formatCode="0.00">
                  <c:v>98</c:v>
                </c:pt>
                <c:pt idx="30" formatCode="0.00">
                  <c:v>95</c:v>
                </c:pt>
                <c:pt idx="32" formatCode="0.00">
                  <c:v>78</c:v>
                </c:pt>
                <c:pt idx="35" formatCode="0.00">
                  <c:v>65</c:v>
                </c:pt>
                <c:pt idx="40" formatCode="0.00">
                  <c:v>65</c:v>
                </c:pt>
                <c:pt idx="45" formatCode="0.00">
                  <c:v>65</c:v>
                </c:pt>
                <c:pt idx="50" formatCode="0.00">
                  <c:v>60</c:v>
                </c:pt>
                <c:pt idx="70" formatCode="0.00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1F-4663-8B57-831807E5FF73}"/>
            </c:ext>
          </c:extLst>
        </c:ser>
        <c:ser>
          <c:idx val="3"/>
          <c:order val="3"/>
          <c:tx>
            <c:strRef>
              <c:f>'Mass-PowerFactorLitCompare-2025'!$P$2</c:f>
              <c:strCache>
                <c:ptCount val="1"/>
                <c:pt idx="0">
                  <c:v>Sander et al 2007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27"/>
              <c:layout>
                <c:manualLayout>
                  <c:x val="0.41577827450526766"/>
                  <c:y val="-1.632779117945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1F-4663-8B57-831807E5FF7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11F-4663-8B57-831807E5FF7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1F-4663-8B57-831807E5FF7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11F-4663-8B57-831807E5FF7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1F-4663-8B57-831807E5FF7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11F-4663-8B57-831807E5FF7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1F-4663-8B57-831807E5FF7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11F-4663-8B57-831807E5FF7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1F-4663-8B57-831807E5FF7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11F-4663-8B57-831807E5FF7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1F-4663-8B57-831807E5FF7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11F-4663-8B57-831807E5FF7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11F-4663-8B57-831807E5FF7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11F-4663-8B57-831807E5FF7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11F-4663-8B57-831807E5FF7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11F-4663-8B57-831807E5FF7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11F-4663-8B57-831807E5FF73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11F-4663-8B57-831807E5FF73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1F-4663-8B57-831807E5FF73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11F-4663-8B57-831807E5FF7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11F-4663-8B57-831807E5FF73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11F-4663-8B57-831807E5FF73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11F-4663-8B57-831807E5FF73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'Mass-PowerFactorLitCompare-2025'!$P$3:$P$73</c:f>
              <c:numCache>
                <c:formatCode>General</c:formatCode>
                <c:ptCount val="71"/>
                <c:pt idx="27" formatCode="0.00">
                  <c:v>102.3</c:v>
                </c:pt>
                <c:pt idx="28" formatCode="0.00">
                  <c:v>102.3</c:v>
                </c:pt>
                <c:pt idx="29" formatCode="0.00">
                  <c:v>102.3</c:v>
                </c:pt>
                <c:pt idx="30" formatCode="0.00">
                  <c:v>102.3</c:v>
                </c:pt>
                <c:pt idx="31" formatCode="0.00">
                  <c:v>102.3</c:v>
                </c:pt>
                <c:pt idx="32" formatCode="0.00">
                  <c:v>102.3</c:v>
                </c:pt>
                <c:pt idx="33" formatCode="0.00">
                  <c:v>102.3</c:v>
                </c:pt>
                <c:pt idx="34" formatCode="0.00">
                  <c:v>102.3</c:v>
                </c:pt>
                <c:pt idx="35" formatCode="0.00">
                  <c:v>102.3</c:v>
                </c:pt>
                <c:pt idx="36" formatCode="0.00">
                  <c:v>102.3</c:v>
                </c:pt>
                <c:pt idx="37" formatCode="0.00">
                  <c:v>102.3</c:v>
                </c:pt>
                <c:pt idx="38" formatCode="0.00">
                  <c:v>102.3</c:v>
                </c:pt>
                <c:pt idx="39" formatCode="0.00">
                  <c:v>102.3</c:v>
                </c:pt>
                <c:pt idx="40" formatCode="0.00">
                  <c:v>102.3</c:v>
                </c:pt>
                <c:pt idx="41" formatCode="0.00">
                  <c:v>102.3</c:v>
                </c:pt>
                <c:pt idx="42" formatCode="0.00">
                  <c:v>102.3</c:v>
                </c:pt>
                <c:pt idx="43" formatCode="0.00">
                  <c:v>102.3</c:v>
                </c:pt>
                <c:pt idx="44" formatCode="0.00">
                  <c:v>102.3</c:v>
                </c:pt>
                <c:pt idx="45" formatCode="0.00">
                  <c:v>102.3</c:v>
                </c:pt>
                <c:pt idx="46" formatCode="0.00">
                  <c:v>102.3</c:v>
                </c:pt>
                <c:pt idx="47" formatCode="0.00">
                  <c:v>102.3</c:v>
                </c:pt>
                <c:pt idx="48" formatCode="0.00">
                  <c:v>102.3</c:v>
                </c:pt>
                <c:pt idx="49" formatCode="0.00">
                  <c:v>102.3</c:v>
                </c:pt>
                <c:pt idx="50" formatCode="0.00">
                  <c:v>102.3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11F-4663-8B57-831807E5FF73}"/>
            </c:ext>
          </c:extLst>
        </c:ser>
        <c:ser>
          <c:idx val="4"/>
          <c:order val="4"/>
          <c:tx>
            <c:strRef>
              <c:f>'Mass-PowerFactorLitCompare-2025'!$Q$2</c:f>
              <c:strCache>
                <c:ptCount val="1"/>
                <c:pt idx="0">
                  <c:v>Paiano et al 2015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0.3624734203455085"/>
                  <c:y val="8.33297664718636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11F-4663-8B57-831807E5FF7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D11F-4663-8B57-831807E5FF7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D11F-4663-8B57-831807E5FF7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11F-4663-8B57-831807E5FF7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11F-4663-8B57-831807E5FF7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11F-4663-8B57-831807E5FF7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D11F-4663-8B57-831807E5FF7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D11F-4663-8B57-831807E5FF7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D11F-4663-8B57-831807E5FF7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D11F-4663-8B57-831807E5FF7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D11F-4663-8B57-831807E5FF7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D11F-4663-8B57-831807E5FF73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D11F-4663-8B57-831807E5FF73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D11F-4663-8B57-831807E5FF73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D11F-4663-8B57-831807E5FF7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D11F-4663-8B57-831807E5FF73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D11F-4663-8B57-831807E5FF73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D11F-4663-8B57-831807E5FF73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D11F-4663-8B57-831807E5FF73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D11F-4663-8B57-831807E5FF73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D11F-4663-8B57-831807E5FF73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D11F-4663-8B57-831807E5FF73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D11F-4663-8B57-831807E5FF7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D11F-4663-8B57-831807E5FF73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D11F-4663-8B57-831807E5FF73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11F-4663-8B57-831807E5FF73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D11F-4663-8B57-831807E5FF73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D11F-4663-8B57-831807E5FF73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D11F-4663-8B57-831807E5FF73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D11F-4663-8B57-831807E5FF73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D11F-4663-8B57-831807E5FF73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D11F-4663-8B57-831807E5FF73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D11F-4663-8B57-831807E5FF73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D11F-4663-8B57-831807E5FF73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D11F-4663-8B57-831807E5FF73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D11F-4663-8B57-831807E5FF7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D11F-4663-8B57-831807E5FF73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D11F-4663-8B57-831807E5FF73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'Mass-PowerFactorLitCompare-2025'!$Q$3:$Q$73</c:f>
              <c:numCache>
                <c:formatCode>General</c:formatCode>
                <c:ptCount val="71"/>
                <c:pt idx="32" formatCode="0.00">
                  <c:v>102</c:v>
                </c:pt>
                <c:pt idx="33" formatCode="0.00">
                  <c:v>102</c:v>
                </c:pt>
                <c:pt idx="34" formatCode="0.00">
                  <c:v>102</c:v>
                </c:pt>
                <c:pt idx="35" formatCode="0.00">
                  <c:v>102</c:v>
                </c:pt>
                <c:pt idx="36" formatCode="0.00">
                  <c:v>102</c:v>
                </c:pt>
                <c:pt idx="37" formatCode="0.00">
                  <c:v>102</c:v>
                </c:pt>
                <c:pt idx="38" formatCode="0.00">
                  <c:v>102</c:v>
                </c:pt>
                <c:pt idx="39" formatCode="0.00">
                  <c:v>102</c:v>
                </c:pt>
                <c:pt idx="40" formatCode="0.00">
                  <c:v>102</c:v>
                </c:pt>
                <c:pt idx="41" formatCode="0.00">
                  <c:v>102</c:v>
                </c:pt>
                <c:pt idx="42" formatCode="0.00">
                  <c:v>102</c:v>
                </c:pt>
                <c:pt idx="43" formatCode="0.00">
                  <c:v>102</c:v>
                </c:pt>
                <c:pt idx="44" formatCode="0.00">
                  <c:v>102</c:v>
                </c:pt>
                <c:pt idx="45" formatCode="0.00">
                  <c:v>102</c:v>
                </c:pt>
                <c:pt idx="46" formatCode="0.00">
                  <c:v>102</c:v>
                </c:pt>
                <c:pt idx="47" formatCode="0.00">
                  <c:v>102</c:v>
                </c:pt>
                <c:pt idx="48" formatCode="0.00">
                  <c:v>102</c:v>
                </c:pt>
                <c:pt idx="49" formatCode="0.00">
                  <c:v>102</c:v>
                </c:pt>
                <c:pt idx="50" formatCode="0.00">
                  <c:v>102</c:v>
                </c:pt>
                <c:pt idx="51" formatCode="0.00">
                  <c:v>102</c:v>
                </c:pt>
                <c:pt idx="52" formatCode="0.00">
                  <c:v>102</c:v>
                </c:pt>
                <c:pt idx="53" formatCode="0.00">
                  <c:v>102</c:v>
                </c:pt>
                <c:pt idx="54" formatCode="0.00">
                  <c:v>102</c:v>
                </c:pt>
                <c:pt idx="55" formatCode="0.00">
                  <c:v>102</c:v>
                </c:pt>
                <c:pt idx="56" formatCode="0.00">
                  <c:v>102</c:v>
                </c:pt>
                <c:pt idx="57" formatCode="0.00">
                  <c:v>102</c:v>
                </c:pt>
                <c:pt idx="58" formatCode="0.00">
                  <c:v>102</c:v>
                </c:pt>
                <c:pt idx="59" formatCode="0.00">
                  <c:v>102</c:v>
                </c:pt>
                <c:pt idx="60" formatCode="0.00">
                  <c:v>102</c:v>
                </c:pt>
                <c:pt idx="61" formatCode="0.00">
                  <c:v>102</c:v>
                </c:pt>
                <c:pt idx="62" formatCode="0.00">
                  <c:v>102</c:v>
                </c:pt>
                <c:pt idx="63" formatCode="0.00">
                  <c:v>102</c:v>
                </c:pt>
                <c:pt idx="64" formatCode="0.00">
                  <c:v>102</c:v>
                </c:pt>
                <c:pt idx="65" formatCode="0.00">
                  <c:v>102</c:v>
                </c:pt>
                <c:pt idx="66" formatCode="0.00">
                  <c:v>102</c:v>
                </c:pt>
                <c:pt idx="67" formatCode="0.00">
                  <c:v>102</c:v>
                </c:pt>
                <c:pt idx="68" formatCode="0.00">
                  <c:v>102</c:v>
                </c:pt>
                <c:pt idx="69" formatCode="0.00">
                  <c:v>102</c:v>
                </c:pt>
                <c:pt idx="70" formatCode="0.00">
                  <c:v>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D11F-4663-8B57-831807E5FF73}"/>
            </c:ext>
          </c:extLst>
        </c:ser>
        <c:ser>
          <c:idx val="5"/>
          <c:order val="5"/>
          <c:tx>
            <c:strRef>
              <c:f>'Mass-PowerFactorLitCompare-2025'!$R$2</c:f>
              <c:strCache>
                <c:ptCount val="1"/>
                <c:pt idx="0">
                  <c:v>Dominguez and Geyer 2017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D11F-4663-8B57-831807E5FF73}"/>
                </c:ext>
              </c:extLst>
            </c:dLbl>
            <c:dLbl>
              <c:idx val="26"/>
              <c:layout>
                <c:manualLayout>
                  <c:x val="0.42643927477001581"/>
                  <c:y val="3.59970024175043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D11F-4663-8B57-831807E5FF73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D11F-4663-8B57-831807E5FF73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D11F-4663-8B57-831807E5FF73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D11F-4663-8B57-831807E5FF73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D11F-4663-8B57-831807E5FF73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D11F-4663-8B57-831807E5FF73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D11F-4663-8B57-831807E5FF73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D11F-4663-8B57-831807E5FF73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D11F-4663-8B57-831807E5FF73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D11F-4663-8B57-831807E5FF73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D11F-4663-8B57-831807E5FF73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D11F-4663-8B57-831807E5FF73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D11F-4663-8B57-831807E5FF73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D11F-4663-8B57-831807E5FF73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D11F-4663-8B57-831807E5FF73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D11F-4663-8B57-831807E5FF73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D11F-4663-8B57-831807E5FF73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D11F-4663-8B57-831807E5FF73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D11F-4663-8B57-831807E5FF73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D11F-4663-8B57-831807E5FF73}"/>
                </c:ext>
              </c:extLst>
            </c:dLbl>
            <c:dLbl>
              <c:idx val="4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D11F-4663-8B57-831807E5FF73}"/>
                </c:ext>
              </c:extLst>
            </c:dLbl>
            <c:dLbl>
              <c:idx val="4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D11F-4663-8B57-831807E5FF73}"/>
                </c:ext>
              </c:extLst>
            </c:dLbl>
            <c:dLbl>
              <c:idx val="4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D11F-4663-8B57-831807E5FF73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D11F-4663-8B57-831807E5FF73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D11F-4663-8B57-831807E5FF73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D11F-4663-8B57-831807E5FF73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D11F-4663-8B57-831807E5FF73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D11F-4663-8B57-831807E5FF73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D11F-4663-8B57-831807E5FF73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D11F-4663-8B57-831807E5FF73}"/>
                </c:ext>
              </c:extLst>
            </c:dLbl>
            <c:dLbl>
              <c:idx val="5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D11F-4663-8B57-831807E5FF73}"/>
                </c:ext>
              </c:extLst>
            </c:dLbl>
            <c:dLbl>
              <c:idx val="5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D11F-4663-8B57-831807E5FF73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D11F-4663-8B57-831807E5FF73}"/>
                </c:ext>
              </c:extLst>
            </c:dLbl>
            <c:dLbl>
              <c:idx val="5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D11F-4663-8B57-831807E5FF73}"/>
                </c:ext>
              </c:extLst>
            </c:dLbl>
            <c:dLbl>
              <c:idx val="6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D11F-4663-8B57-831807E5FF73}"/>
                </c:ext>
              </c:extLst>
            </c:dLbl>
            <c:dLbl>
              <c:idx val="6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D11F-4663-8B57-831807E5FF73}"/>
                </c:ext>
              </c:extLst>
            </c:dLbl>
            <c:dLbl>
              <c:idx val="6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D11F-4663-8B57-831807E5FF73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D11F-4663-8B57-831807E5FF73}"/>
                </c:ext>
              </c:extLst>
            </c:dLbl>
            <c:dLbl>
              <c:idx val="6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D11F-4663-8B57-831807E5FF73}"/>
                </c:ext>
              </c:extLst>
            </c:dLbl>
            <c:dLbl>
              <c:idx val="6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D11F-4663-8B57-831807E5FF73}"/>
                </c:ext>
              </c:extLst>
            </c:dLbl>
            <c:dLbl>
              <c:idx val="6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D11F-4663-8B57-831807E5FF73}"/>
                </c:ext>
              </c:extLst>
            </c:dLbl>
            <c:dLbl>
              <c:idx val="6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D11F-4663-8B57-831807E5FF73}"/>
                </c:ext>
              </c:extLst>
            </c:dLbl>
            <c:dLbl>
              <c:idx val="6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D11F-4663-8B57-831807E5FF73}"/>
                </c:ext>
              </c:extLst>
            </c:dLbl>
            <c:dLbl>
              <c:idx val="6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D11F-4663-8B57-831807E5FF73}"/>
                </c:ext>
              </c:extLst>
            </c:dLbl>
            <c:dLbl>
              <c:idx val="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'Mass-PowerFactorLitCompare-2025'!$R$3:$R$73</c:f>
              <c:numCache>
                <c:formatCode>General</c:formatCode>
                <c:ptCount val="71"/>
                <c:pt idx="25" formatCode="0.00">
                  <c:v>101.6</c:v>
                </c:pt>
                <c:pt idx="26" formatCode="0.00">
                  <c:v>101.6</c:v>
                </c:pt>
                <c:pt idx="27" formatCode="0.00">
                  <c:v>101.6</c:v>
                </c:pt>
                <c:pt idx="28" formatCode="0.00">
                  <c:v>101.6</c:v>
                </c:pt>
                <c:pt idx="29" formatCode="0.00">
                  <c:v>101.6</c:v>
                </c:pt>
                <c:pt idx="30" formatCode="0.00">
                  <c:v>101.6</c:v>
                </c:pt>
                <c:pt idx="31" formatCode="0.00">
                  <c:v>101.6</c:v>
                </c:pt>
                <c:pt idx="32" formatCode="0.00">
                  <c:v>101.6</c:v>
                </c:pt>
                <c:pt idx="33" formatCode="0.00">
                  <c:v>101.6</c:v>
                </c:pt>
                <c:pt idx="34" formatCode="0.00">
                  <c:v>101.6</c:v>
                </c:pt>
                <c:pt idx="35" formatCode="0.00">
                  <c:v>101.6</c:v>
                </c:pt>
                <c:pt idx="36" formatCode="0.00">
                  <c:v>101.6</c:v>
                </c:pt>
                <c:pt idx="37" formatCode="0.00">
                  <c:v>101.6</c:v>
                </c:pt>
                <c:pt idx="38" formatCode="0.00">
                  <c:v>101.6</c:v>
                </c:pt>
                <c:pt idx="39" formatCode="0.00">
                  <c:v>101.6</c:v>
                </c:pt>
                <c:pt idx="40" formatCode="0.00">
                  <c:v>101.6</c:v>
                </c:pt>
                <c:pt idx="41" formatCode="0.00">
                  <c:v>101.6</c:v>
                </c:pt>
                <c:pt idx="42" formatCode="0.00">
                  <c:v>101.6</c:v>
                </c:pt>
                <c:pt idx="43" formatCode="0.00">
                  <c:v>101.6</c:v>
                </c:pt>
                <c:pt idx="44" formatCode="0.00">
                  <c:v>101.6</c:v>
                </c:pt>
                <c:pt idx="45" formatCode="0.00">
                  <c:v>101.6</c:v>
                </c:pt>
                <c:pt idx="46" formatCode="0.00">
                  <c:v>101.6</c:v>
                </c:pt>
                <c:pt idx="47" formatCode="0.00">
                  <c:v>101.6</c:v>
                </c:pt>
                <c:pt idx="48" formatCode="0.00">
                  <c:v>101.6</c:v>
                </c:pt>
                <c:pt idx="49" formatCode="0.00">
                  <c:v>101.6</c:v>
                </c:pt>
                <c:pt idx="50" formatCode="0.00">
                  <c:v>101.6</c:v>
                </c:pt>
                <c:pt idx="51" formatCode="0.00">
                  <c:v>101.6</c:v>
                </c:pt>
                <c:pt idx="52" formatCode="0.00">
                  <c:v>101.6</c:v>
                </c:pt>
                <c:pt idx="53" formatCode="0.00">
                  <c:v>101.6</c:v>
                </c:pt>
                <c:pt idx="54" formatCode="0.00">
                  <c:v>101.6</c:v>
                </c:pt>
                <c:pt idx="55" formatCode="0.00">
                  <c:v>101.6</c:v>
                </c:pt>
                <c:pt idx="56" formatCode="0.00">
                  <c:v>101.6</c:v>
                </c:pt>
                <c:pt idx="57" formatCode="0.00">
                  <c:v>101.6</c:v>
                </c:pt>
                <c:pt idx="58" formatCode="0.00">
                  <c:v>101.6</c:v>
                </c:pt>
                <c:pt idx="59" formatCode="0.00">
                  <c:v>101.6</c:v>
                </c:pt>
                <c:pt idx="60" formatCode="0.00">
                  <c:v>101.6</c:v>
                </c:pt>
                <c:pt idx="61" formatCode="0.00">
                  <c:v>101.6</c:v>
                </c:pt>
                <c:pt idx="62" formatCode="0.00">
                  <c:v>101.6</c:v>
                </c:pt>
                <c:pt idx="63" formatCode="0.00">
                  <c:v>101.6</c:v>
                </c:pt>
                <c:pt idx="64" formatCode="0.00">
                  <c:v>101.6</c:v>
                </c:pt>
                <c:pt idx="65" formatCode="0.00">
                  <c:v>101.6</c:v>
                </c:pt>
                <c:pt idx="66" formatCode="0.00">
                  <c:v>101.6</c:v>
                </c:pt>
                <c:pt idx="67" formatCode="0.00">
                  <c:v>101.6</c:v>
                </c:pt>
                <c:pt idx="68" formatCode="0.00">
                  <c:v>101.6</c:v>
                </c:pt>
                <c:pt idx="69" formatCode="0.00">
                  <c:v>101.6</c:v>
                </c:pt>
                <c:pt idx="70" formatCode="0.00">
                  <c:v>101.6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2-D11F-4663-8B57-831807E5FF73}"/>
            </c:ext>
          </c:extLst>
        </c:ser>
        <c:ser>
          <c:idx val="6"/>
          <c:order val="6"/>
          <c:tx>
            <c:strRef>
              <c:f>'Mass-PowerFactorLitCompare-2025'!$S$2</c:f>
              <c:strCache>
                <c:ptCount val="1"/>
                <c:pt idx="0">
                  <c:v>Kim and Park 2018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layout>
                <c:manualLayout>
                  <c:x val="0.4790166404429852"/>
                  <c:y val="1.60890480245414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'Mass-PowerFactorLitCompare-2025'!$S$3:$S$73</c:f>
              <c:numCache>
                <c:formatCode>General</c:formatCode>
                <c:ptCount val="71"/>
                <c:pt idx="21" formatCode="0.00">
                  <c:v>74.400000000000006</c:v>
                </c:pt>
                <c:pt idx="22" formatCode="0.00">
                  <c:v>74.400000000000006</c:v>
                </c:pt>
                <c:pt idx="23" formatCode="0.00">
                  <c:v>74.400000000000006</c:v>
                </c:pt>
                <c:pt idx="24" formatCode="0.00">
                  <c:v>74.400000000000006</c:v>
                </c:pt>
                <c:pt idx="25" formatCode="0.00">
                  <c:v>74.400000000000006</c:v>
                </c:pt>
                <c:pt idx="26" formatCode="0.00">
                  <c:v>74.400000000000006</c:v>
                </c:pt>
                <c:pt idx="27" formatCode="0.00">
                  <c:v>74.400000000000006</c:v>
                </c:pt>
                <c:pt idx="28" formatCode="0.00">
                  <c:v>74.400000000000006</c:v>
                </c:pt>
                <c:pt idx="29" formatCode="0.00">
                  <c:v>74.400000000000006</c:v>
                </c:pt>
                <c:pt idx="30" formatCode="0.00">
                  <c:v>74.400000000000006</c:v>
                </c:pt>
                <c:pt idx="31" formatCode="0.00">
                  <c:v>74.400000000000006</c:v>
                </c:pt>
                <c:pt idx="32" formatCode="0.00">
                  <c:v>74.400000000000006</c:v>
                </c:pt>
                <c:pt idx="33" formatCode="0.00">
                  <c:v>74.400000000000006</c:v>
                </c:pt>
                <c:pt idx="34" formatCode="0.00">
                  <c:v>74.400000000000006</c:v>
                </c:pt>
                <c:pt idx="35" formatCode="0.00">
                  <c:v>74.400000000000006</c:v>
                </c:pt>
                <c:pt idx="36" formatCode="0.00">
                  <c:v>74.400000000000006</c:v>
                </c:pt>
                <c:pt idx="37" formatCode="0.00">
                  <c:v>74.400000000000006</c:v>
                </c:pt>
                <c:pt idx="38" formatCode="0.00">
                  <c:v>74.400000000000006</c:v>
                </c:pt>
                <c:pt idx="39" formatCode="0.00">
                  <c:v>74.400000000000006</c:v>
                </c:pt>
                <c:pt idx="40" formatCode="0.00">
                  <c:v>74.400000000000006</c:v>
                </c:pt>
                <c:pt idx="41" formatCode="0.00">
                  <c:v>74.400000000000006</c:v>
                </c:pt>
                <c:pt idx="42" formatCode="0.00">
                  <c:v>74.400000000000006</c:v>
                </c:pt>
                <c:pt idx="43" formatCode="0.00">
                  <c:v>74.400000000000006</c:v>
                </c:pt>
                <c:pt idx="44" formatCode="0.00">
                  <c:v>74.400000000000006</c:v>
                </c:pt>
                <c:pt idx="45" formatCode="0.00">
                  <c:v>74.400000000000006</c:v>
                </c:pt>
                <c:pt idx="46" formatCode="0.00">
                  <c:v>74.400000000000006</c:v>
                </c:pt>
                <c:pt idx="47" formatCode="0.00">
                  <c:v>74.400000000000006</c:v>
                </c:pt>
                <c:pt idx="48" formatCode="0.00">
                  <c:v>74.400000000000006</c:v>
                </c:pt>
                <c:pt idx="49" formatCode="0.00">
                  <c:v>74.400000000000006</c:v>
                </c:pt>
                <c:pt idx="50" formatCode="0.00">
                  <c:v>74.400000000000006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4-D11F-4663-8B57-831807E5FF73}"/>
            </c:ext>
          </c:extLst>
        </c:ser>
        <c:ser>
          <c:idx val="7"/>
          <c:order val="7"/>
          <c:tx>
            <c:strRef>
              <c:f>'Mass-PowerFactorLitCompare-2025'!$T$2</c:f>
              <c:strCache>
                <c:ptCount val="1"/>
                <c:pt idx="0">
                  <c:v>Dominguez and Geyer 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5"/>
              <c:layout>
                <c:manualLayout>
                  <c:x val="0.43774323446709923"/>
                  <c:y val="-4.0735765089420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'Mass-PowerFactorLitCompare-2025'!$T$3:$T$73</c:f>
              <c:numCache>
                <c:formatCode>General</c:formatCode>
                <c:ptCount val="71"/>
                <c:pt idx="23" formatCode="0.00">
                  <c:v>102.7</c:v>
                </c:pt>
                <c:pt idx="24" formatCode="0.00">
                  <c:v>102.7</c:v>
                </c:pt>
                <c:pt idx="25" formatCode="0.00">
                  <c:v>102.7</c:v>
                </c:pt>
                <c:pt idx="26" formatCode="0.00">
                  <c:v>102.7</c:v>
                </c:pt>
                <c:pt idx="27" formatCode="0.00">
                  <c:v>102.7</c:v>
                </c:pt>
                <c:pt idx="28" formatCode="0.00">
                  <c:v>102.7</c:v>
                </c:pt>
                <c:pt idx="29" formatCode="0.00">
                  <c:v>102.7</c:v>
                </c:pt>
                <c:pt idx="30" formatCode="0.00">
                  <c:v>102.7</c:v>
                </c:pt>
                <c:pt idx="31" formatCode="0.00">
                  <c:v>102.7</c:v>
                </c:pt>
                <c:pt idx="32" formatCode="0.00">
                  <c:v>102.7</c:v>
                </c:pt>
                <c:pt idx="33" formatCode="0.00">
                  <c:v>102.7</c:v>
                </c:pt>
                <c:pt idx="34" formatCode="0.00">
                  <c:v>102.7</c:v>
                </c:pt>
                <c:pt idx="35" formatCode="0.00">
                  <c:v>102.7</c:v>
                </c:pt>
                <c:pt idx="36" formatCode="0.00">
                  <c:v>102.7</c:v>
                </c:pt>
                <c:pt idx="37" formatCode="0.00">
                  <c:v>102.7</c:v>
                </c:pt>
                <c:pt idx="38" formatCode="0.00">
                  <c:v>102.7</c:v>
                </c:pt>
                <c:pt idx="39" formatCode="0.00">
                  <c:v>102.7</c:v>
                </c:pt>
                <c:pt idx="40" formatCode="0.00">
                  <c:v>102.7</c:v>
                </c:pt>
                <c:pt idx="41" formatCode="0.00">
                  <c:v>102.7</c:v>
                </c:pt>
                <c:pt idx="42" formatCode="0.00">
                  <c:v>102.7</c:v>
                </c:pt>
                <c:pt idx="43" formatCode="0.00">
                  <c:v>102.7</c:v>
                </c:pt>
                <c:pt idx="44" formatCode="0.00">
                  <c:v>102.7</c:v>
                </c:pt>
                <c:pt idx="45" formatCode="0.00">
                  <c:v>102.7</c:v>
                </c:pt>
                <c:pt idx="46" formatCode="0.00">
                  <c:v>102.7</c:v>
                </c:pt>
                <c:pt idx="47" formatCode="0.00">
                  <c:v>102.7</c:v>
                </c:pt>
                <c:pt idx="48" formatCode="0.00">
                  <c:v>102.7</c:v>
                </c:pt>
                <c:pt idx="49" formatCode="0.00">
                  <c:v>102.7</c:v>
                </c:pt>
                <c:pt idx="50" formatCode="0.00">
                  <c:v>102.7</c:v>
                </c:pt>
                <c:pt idx="51" formatCode="0.00">
                  <c:v>102.7</c:v>
                </c:pt>
                <c:pt idx="52" formatCode="0.00">
                  <c:v>102.7</c:v>
                </c:pt>
                <c:pt idx="53" formatCode="0.00">
                  <c:v>102.7</c:v>
                </c:pt>
                <c:pt idx="54" formatCode="0.00">
                  <c:v>102.7</c:v>
                </c:pt>
                <c:pt idx="55" formatCode="0.00">
                  <c:v>102.7</c:v>
                </c:pt>
                <c:pt idx="56" formatCode="0.00">
                  <c:v>102.7</c:v>
                </c:pt>
                <c:pt idx="57" formatCode="0.00">
                  <c:v>102.7</c:v>
                </c:pt>
                <c:pt idx="58" formatCode="0.00">
                  <c:v>102.7</c:v>
                </c:pt>
                <c:pt idx="59" formatCode="0.00">
                  <c:v>102.7</c:v>
                </c:pt>
                <c:pt idx="60" formatCode="0.00">
                  <c:v>102.7</c:v>
                </c:pt>
                <c:pt idx="61" formatCode="0.00">
                  <c:v>102.7</c:v>
                </c:pt>
                <c:pt idx="62" formatCode="0.00">
                  <c:v>102.7</c:v>
                </c:pt>
                <c:pt idx="63" formatCode="0.00">
                  <c:v>102.7</c:v>
                </c:pt>
                <c:pt idx="64" formatCode="0.00">
                  <c:v>102.7</c:v>
                </c:pt>
                <c:pt idx="65" formatCode="0.00">
                  <c:v>102.7</c:v>
                </c:pt>
                <c:pt idx="66" formatCode="0.00">
                  <c:v>102.7</c:v>
                </c:pt>
                <c:pt idx="67" formatCode="0.00">
                  <c:v>102.7</c:v>
                </c:pt>
                <c:pt idx="68" formatCode="0.00">
                  <c:v>102.7</c:v>
                </c:pt>
                <c:pt idx="69" formatCode="0.00">
                  <c:v>102.7</c:v>
                </c:pt>
                <c:pt idx="70" formatCode="0.00">
                  <c:v>102.7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D11F-4663-8B57-831807E5FF73}"/>
            </c:ext>
          </c:extLst>
        </c:ser>
        <c:ser>
          <c:idx val="8"/>
          <c:order val="8"/>
          <c:tx>
            <c:strRef>
              <c:f>'Mass-PowerFactorLitCompare-2025'!$U$2</c:f>
              <c:strCache>
                <c:ptCount val="1"/>
                <c:pt idx="0">
                  <c:v>Heath et al 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70"/>
              <c:layout>
                <c:manualLayout>
                  <c:x val="0"/>
                  <c:y val="-1.34075400204512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D11F-4663-8B57-831807E5F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'Mass-PowerFactorLitCompare-2025'!$A$3:$A$73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xVal>
          <c:yVal>
            <c:numRef>
              <c:f>'Mass-PowerFactorLitCompare-2025'!$U$3:$U$73</c:f>
              <c:numCache>
                <c:formatCode>General</c:formatCode>
                <c:ptCount val="71"/>
                <c:pt idx="40" formatCode="0.00">
                  <c:v>76</c:v>
                </c:pt>
                <c:pt idx="41" formatCode="0.00">
                  <c:v>76</c:v>
                </c:pt>
                <c:pt idx="42" formatCode="0.00">
                  <c:v>76</c:v>
                </c:pt>
                <c:pt idx="43" formatCode="0.00">
                  <c:v>76</c:v>
                </c:pt>
                <c:pt idx="44" formatCode="0.00">
                  <c:v>76</c:v>
                </c:pt>
                <c:pt idx="45" formatCode="0.00">
                  <c:v>76</c:v>
                </c:pt>
                <c:pt idx="46" formatCode="0.00">
                  <c:v>76</c:v>
                </c:pt>
                <c:pt idx="47" formatCode="0.00">
                  <c:v>76</c:v>
                </c:pt>
                <c:pt idx="48" formatCode="0.00">
                  <c:v>76</c:v>
                </c:pt>
                <c:pt idx="49" formatCode="0.00">
                  <c:v>76</c:v>
                </c:pt>
                <c:pt idx="50" formatCode="0.00">
                  <c:v>76</c:v>
                </c:pt>
                <c:pt idx="51" formatCode="0.00">
                  <c:v>76</c:v>
                </c:pt>
                <c:pt idx="52" formatCode="0.00">
                  <c:v>76</c:v>
                </c:pt>
                <c:pt idx="53" formatCode="0.00">
                  <c:v>76</c:v>
                </c:pt>
                <c:pt idx="54" formatCode="0.00">
                  <c:v>76</c:v>
                </c:pt>
                <c:pt idx="55" formatCode="0.00">
                  <c:v>76</c:v>
                </c:pt>
                <c:pt idx="56" formatCode="0.00">
                  <c:v>76</c:v>
                </c:pt>
                <c:pt idx="57" formatCode="0.00">
                  <c:v>76</c:v>
                </c:pt>
                <c:pt idx="58" formatCode="0.00">
                  <c:v>76</c:v>
                </c:pt>
                <c:pt idx="59" formatCode="0.00">
                  <c:v>76</c:v>
                </c:pt>
                <c:pt idx="60" formatCode="0.00">
                  <c:v>76</c:v>
                </c:pt>
                <c:pt idx="61" formatCode="0.00">
                  <c:v>76</c:v>
                </c:pt>
                <c:pt idx="62" formatCode="0.00">
                  <c:v>76</c:v>
                </c:pt>
                <c:pt idx="63" formatCode="0.00">
                  <c:v>76</c:v>
                </c:pt>
                <c:pt idx="64" formatCode="0.00">
                  <c:v>76</c:v>
                </c:pt>
                <c:pt idx="65" formatCode="0.00">
                  <c:v>76</c:v>
                </c:pt>
                <c:pt idx="66" formatCode="0.00">
                  <c:v>76</c:v>
                </c:pt>
                <c:pt idx="67" formatCode="0.00">
                  <c:v>76</c:v>
                </c:pt>
                <c:pt idx="68" formatCode="0.00">
                  <c:v>76</c:v>
                </c:pt>
                <c:pt idx="69" formatCode="0.00">
                  <c:v>76</c:v>
                </c:pt>
                <c:pt idx="70" formatCode="0.0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8-D11F-4663-8B57-831807E5F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276640"/>
        <c:axId val="717276968"/>
      </c:scatterChart>
      <c:valAx>
        <c:axId val="717276640"/>
        <c:scaling>
          <c:orientation val="minMax"/>
          <c:max val="2050"/>
          <c:min val="19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717276968"/>
        <c:crosses val="autoZero"/>
        <c:crossBetween val="midCat"/>
      </c:valAx>
      <c:valAx>
        <c:axId val="71727696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Mass-Power Factor [metric tonnes/MW]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717276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2246646967216026"/>
          <c:y val="9.9213545534975064E-2"/>
          <c:w val="0.39267176268002646"/>
          <c:h val="0.34223547440785235"/>
        </c:manualLayout>
      </c:layout>
      <c:overlay val="0"/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790280</xdr:colOff>
      <xdr:row>4</xdr:row>
      <xdr:rowOff>61211</xdr:rowOff>
    </xdr:from>
    <xdr:to>
      <xdr:col>20</xdr:col>
      <xdr:colOff>458279</xdr:colOff>
      <xdr:row>27</xdr:row>
      <xdr:rowOff>155934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C5C525-FD3C-4B02-91D9-04FE3CE5C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9DCC-36DB-4CE9-8DAF-848932C620DB}">
  <dimension ref="A1:Y73"/>
  <sheetViews>
    <sheetView tabSelected="1" zoomScale="106" zoomScaleNormal="106" workbookViewId="0">
      <selection activeCell="M2" sqref="M2"/>
    </sheetView>
  </sheetViews>
  <sheetFormatPr defaultRowHeight="14.5" x14ac:dyDescent="0.35"/>
  <cols>
    <col min="1" max="1" width="4.81640625" bestFit="1" customWidth="1"/>
    <col min="2" max="2" width="7.36328125" bestFit="1" customWidth="1"/>
    <col min="3" max="3" width="6.54296875" bestFit="1" customWidth="1"/>
    <col min="5" max="5" width="7.08984375" bestFit="1" customWidth="1"/>
    <col min="6" max="6" width="5.7265625" bestFit="1" customWidth="1"/>
    <col min="8" max="8" width="13" customWidth="1"/>
    <col min="9" max="9" width="16.1796875" style="6" bestFit="1" customWidth="1"/>
    <col min="10" max="10" width="19.90625" customWidth="1"/>
    <col min="11" max="11" width="19.90625" style="6" bestFit="1" customWidth="1"/>
    <col min="12" max="12" width="2.453125" style="2" customWidth="1"/>
    <col min="13" max="13" width="7.453125" style="8" customWidth="1"/>
    <col min="14" max="14" width="21.36328125" customWidth="1"/>
    <col min="15" max="15" width="19.7265625" customWidth="1"/>
    <col min="16" max="21" width="11.81640625" customWidth="1"/>
    <col min="22" max="22" width="2.26953125" style="2" customWidth="1"/>
  </cols>
  <sheetData>
    <row r="1" spans="1:25" x14ac:dyDescent="0.35">
      <c r="B1" s="5" t="s">
        <v>20</v>
      </c>
      <c r="C1" s="5"/>
      <c r="D1" s="5"/>
      <c r="E1" s="5"/>
      <c r="F1" s="5"/>
      <c r="G1" s="5" t="s">
        <v>21</v>
      </c>
      <c r="H1" s="5"/>
      <c r="I1" s="5"/>
      <c r="J1" s="5"/>
      <c r="K1" s="5"/>
      <c r="L1" s="1"/>
      <c r="M1" s="5" t="s">
        <v>22</v>
      </c>
      <c r="N1" s="5"/>
      <c r="O1" s="5"/>
      <c r="P1" s="5"/>
      <c r="Q1" s="5"/>
      <c r="R1" s="5"/>
      <c r="S1" s="5"/>
      <c r="T1" s="5"/>
      <c r="U1" s="5"/>
      <c r="V1" s="1"/>
      <c r="W1" s="5"/>
      <c r="X1" s="5"/>
      <c r="Y1" s="5"/>
    </row>
    <row r="2" spans="1:2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17</v>
      </c>
      <c r="H2" t="s">
        <v>18</v>
      </c>
      <c r="I2" s="6" t="s">
        <v>6</v>
      </c>
      <c r="J2" t="s">
        <v>16</v>
      </c>
      <c r="K2" s="6" t="s">
        <v>7</v>
      </c>
      <c r="M2" s="8" t="s">
        <v>19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</row>
    <row r="3" spans="1:25" x14ac:dyDescent="0.35">
      <c r="A3">
        <v>1980</v>
      </c>
      <c r="N3">
        <v>168.3042968</v>
      </c>
      <c r="O3">
        <v>170</v>
      </c>
    </row>
    <row r="4" spans="1:25" x14ac:dyDescent="0.35">
      <c r="A4">
        <v>1981</v>
      </c>
      <c r="N4">
        <v>164.73019289999999</v>
      </c>
    </row>
    <row r="5" spans="1:25" x14ac:dyDescent="0.35">
      <c r="A5">
        <v>1982</v>
      </c>
      <c r="N5">
        <v>161.23198859999999</v>
      </c>
    </row>
    <row r="6" spans="1:25" x14ac:dyDescent="0.35">
      <c r="A6">
        <v>1983</v>
      </c>
      <c r="N6">
        <v>157.80807200000001</v>
      </c>
    </row>
    <row r="7" spans="1:25" x14ac:dyDescent="0.35">
      <c r="A7">
        <v>1984</v>
      </c>
      <c r="N7">
        <v>154.45686559999999</v>
      </c>
    </row>
    <row r="8" spans="1:25" x14ac:dyDescent="0.35">
      <c r="A8">
        <v>1985</v>
      </c>
      <c r="N8">
        <v>151.1768252</v>
      </c>
    </row>
    <row r="9" spans="1:25" x14ac:dyDescent="0.35">
      <c r="A9">
        <v>1986</v>
      </c>
      <c r="N9">
        <v>147.9664397</v>
      </c>
    </row>
    <row r="10" spans="1:25" x14ac:dyDescent="0.35">
      <c r="A10">
        <v>1987</v>
      </c>
      <c r="N10">
        <v>144.82422980000001</v>
      </c>
    </row>
    <row r="11" spans="1:25" x14ac:dyDescent="0.35">
      <c r="A11">
        <v>1988</v>
      </c>
      <c r="N11">
        <v>141.74874779999999</v>
      </c>
    </row>
    <row r="12" spans="1:25" x14ac:dyDescent="0.35">
      <c r="A12">
        <v>1989</v>
      </c>
      <c r="N12">
        <v>138.73857659999999</v>
      </c>
    </row>
    <row r="13" spans="1:25" x14ac:dyDescent="0.35">
      <c r="A13">
        <v>1990</v>
      </c>
      <c r="N13">
        <v>135.79232930000001</v>
      </c>
      <c r="O13">
        <v>145</v>
      </c>
    </row>
    <row r="14" spans="1:25" x14ac:dyDescent="0.35">
      <c r="A14">
        <v>1991</v>
      </c>
      <c r="N14">
        <v>132.9086484</v>
      </c>
    </row>
    <row r="15" spans="1:25" x14ac:dyDescent="0.35">
      <c r="A15">
        <v>1992</v>
      </c>
      <c r="N15">
        <v>130.08620519999999</v>
      </c>
    </row>
    <row r="16" spans="1:25" x14ac:dyDescent="0.35">
      <c r="A16">
        <v>1993</v>
      </c>
      <c r="N16">
        <v>127.3236993</v>
      </c>
    </row>
    <row r="17" spans="1:25" x14ac:dyDescent="0.35">
      <c r="A17">
        <v>1994</v>
      </c>
      <c r="N17">
        <v>124.6198579</v>
      </c>
      <c r="O17">
        <v>125</v>
      </c>
    </row>
    <row r="18" spans="1:25" x14ac:dyDescent="0.35">
      <c r="A18">
        <v>1995</v>
      </c>
      <c r="B18">
        <v>8000</v>
      </c>
      <c r="C18">
        <v>3091.18541</v>
      </c>
      <c r="D18">
        <v>848.42142860000001</v>
      </c>
      <c r="E18">
        <v>88</v>
      </c>
      <c r="F18">
        <v>5.3760000000000003</v>
      </c>
      <c r="G18">
        <v>846</v>
      </c>
      <c r="H18">
        <v>180</v>
      </c>
      <c r="I18" s="7">
        <f>SUM(B18:H18)</f>
        <v>13058.982838600001</v>
      </c>
      <c r="J18">
        <v>12.5</v>
      </c>
      <c r="K18" s="7">
        <f>J18*1000/100</f>
        <v>125</v>
      </c>
      <c r="L18" s="4"/>
      <c r="M18" s="9">
        <f>I18/K18</f>
        <v>104.4718627088</v>
      </c>
      <c r="N18" s="3">
        <v>121.9734352</v>
      </c>
      <c r="O18" s="3"/>
      <c r="P18" s="3"/>
      <c r="Q18" s="3"/>
      <c r="R18" s="3"/>
      <c r="S18" s="3"/>
      <c r="T18" s="3"/>
      <c r="U18" s="3"/>
      <c r="V18" s="4"/>
      <c r="W18" s="3"/>
      <c r="X18" s="3"/>
      <c r="Y18" s="3"/>
    </row>
    <row r="19" spans="1:25" x14ac:dyDescent="0.35">
      <c r="A19">
        <v>1996</v>
      </c>
      <c r="B19">
        <v>8000</v>
      </c>
      <c r="C19">
        <v>3017.4165459999999</v>
      </c>
      <c r="D19">
        <v>831.7857143</v>
      </c>
      <c r="E19">
        <v>84.571428569999995</v>
      </c>
      <c r="F19">
        <v>5.3760000000000003</v>
      </c>
      <c r="G19">
        <v>846</v>
      </c>
      <c r="H19">
        <v>186.48</v>
      </c>
      <c r="I19" s="7">
        <f t="shared" ref="I19:I73" si="0">SUM(B19:H19)</f>
        <v>12971.62968887</v>
      </c>
      <c r="J19">
        <v>12.7</v>
      </c>
      <c r="K19" s="7">
        <f>J19*1000/100</f>
        <v>127</v>
      </c>
      <c r="L19" s="4"/>
      <c r="M19" s="9">
        <f t="shared" ref="M19:M73" si="1">I19/K19</f>
        <v>102.13881644779528</v>
      </c>
      <c r="N19" s="3">
        <v>119.3832118</v>
      </c>
      <c r="O19" s="3"/>
      <c r="P19" s="3"/>
      <c r="Q19" s="3"/>
      <c r="R19" s="3"/>
      <c r="S19" s="3"/>
      <c r="T19" s="3"/>
      <c r="U19" s="3"/>
      <c r="V19" s="4"/>
      <c r="W19" s="3"/>
      <c r="X19" s="3"/>
      <c r="Y19" s="3"/>
    </row>
    <row r="20" spans="1:25" x14ac:dyDescent="0.35">
      <c r="A20">
        <v>1997</v>
      </c>
      <c r="B20">
        <v>8000</v>
      </c>
      <c r="C20">
        <v>2700</v>
      </c>
      <c r="D20">
        <v>815.15</v>
      </c>
      <c r="E20">
        <v>81.142857140000004</v>
      </c>
      <c r="F20">
        <v>5.3760000000000003</v>
      </c>
      <c r="G20">
        <v>846</v>
      </c>
      <c r="H20">
        <v>192.96</v>
      </c>
      <c r="I20" s="7">
        <f t="shared" si="0"/>
        <v>12640.628857139998</v>
      </c>
      <c r="J20">
        <v>12.88</v>
      </c>
      <c r="K20" s="7">
        <f>J20*1000/100</f>
        <v>128.80000000000001</v>
      </c>
      <c r="L20" s="4"/>
      <c r="M20" s="9">
        <f t="shared" si="1"/>
        <v>98.141528393944071</v>
      </c>
      <c r="N20" s="3">
        <v>116.8479943</v>
      </c>
      <c r="O20" s="3"/>
      <c r="P20" s="3"/>
      <c r="Q20" s="3"/>
      <c r="R20" s="3"/>
      <c r="S20" s="3"/>
      <c r="T20" s="3"/>
      <c r="U20" s="3"/>
      <c r="V20" s="4"/>
      <c r="W20" s="3"/>
      <c r="X20" s="3"/>
      <c r="Y20" s="3"/>
    </row>
    <row r="21" spans="1:25" x14ac:dyDescent="0.35">
      <c r="A21">
        <v>1998</v>
      </c>
      <c r="B21">
        <v>8000</v>
      </c>
      <c r="C21">
        <v>2540.3726710000001</v>
      </c>
      <c r="D21">
        <v>798.51428569999996</v>
      </c>
      <c r="E21">
        <v>77.714285709999999</v>
      </c>
      <c r="F21">
        <v>5.3760000000000003</v>
      </c>
      <c r="G21">
        <v>846</v>
      </c>
      <c r="H21">
        <v>199.44</v>
      </c>
      <c r="I21" s="7">
        <f t="shared" si="0"/>
        <v>12467.417242410002</v>
      </c>
      <c r="J21">
        <v>13.06</v>
      </c>
      <c r="K21" s="7">
        <f>J21*1000/100</f>
        <v>130.6</v>
      </c>
      <c r="L21" s="4"/>
      <c r="M21" s="9">
        <f t="shared" si="1"/>
        <v>95.462612882159277</v>
      </c>
      <c r="N21" s="3">
        <v>114.36661460000001</v>
      </c>
      <c r="O21" s="3"/>
      <c r="P21" s="3"/>
      <c r="Q21" s="3"/>
      <c r="R21" s="3"/>
      <c r="S21" s="3"/>
      <c r="T21" s="3"/>
      <c r="U21" s="3"/>
      <c r="V21" s="4"/>
      <c r="W21" s="3"/>
      <c r="X21" s="3"/>
      <c r="Y21" s="3"/>
    </row>
    <row r="22" spans="1:25" x14ac:dyDescent="0.35">
      <c r="A22">
        <v>1999</v>
      </c>
      <c r="B22">
        <v>8000</v>
      </c>
      <c r="C22">
        <v>2484.6989140000001</v>
      </c>
      <c r="D22">
        <v>781.87857140000006</v>
      </c>
      <c r="E22">
        <v>74.285714290000001</v>
      </c>
      <c r="F22">
        <v>5.3760000000000003</v>
      </c>
      <c r="G22">
        <v>846</v>
      </c>
      <c r="H22">
        <v>205.92</v>
      </c>
      <c r="I22" s="7">
        <f t="shared" si="0"/>
        <v>12398.159199690001</v>
      </c>
      <c r="J22">
        <v>13.24</v>
      </c>
      <c r="K22" s="7">
        <f>J22*1000/100</f>
        <v>132.4</v>
      </c>
      <c r="L22" s="4"/>
      <c r="M22" s="9">
        <f t="shared" si="1"/>
        <v>93.641685798262841</v>
      </c>
      <c r="N22" s="3">
        <v>111.9379294</v>
      </c>
      <c r="O22" s="3"/>
      <c r="P22" s="3"/>
      <c r="Q22" s="3"/>
      <c r="R22" s="3"/>
      <c r="S22" s="3"/>
      <c r="T22" s="3"/>
      <c r="U22" s="3"/>
      <c r="V22" s="4"/>
      <c r="W22" s="3"/>
      <c r="X22" s="3"/>
      <c r="Y22" s="3"/>
    </row>
    <row r="23" spans="1:25" x14ac:dyDescent="0.35">
      <c r="A23">
        <v>2000</v>
      </c>
      <c r="B23">
        <v>8000</v>
      </c>
      <c r="C23">
        <v>2433.9622639999998</v>
      </c>
      <c r="D23">
        <v>765.24285710000004</v>
      </c>
      <c r="E23">
        <v>45.34857143</v>
      </c>
      <c r="F23">
        <v>5.3760000000000003</v>
      </c>
      <c r="G23">
        <v>846</v>
      </c>
      <c r="H23">
        <v>212.4</v>
      </c>
      <c r="I23" s="7">
        <f t="shared" si="0"/>
        <v>12308.32969253</v>
      </c>
      <c r="J23">
        <v>13.42</v>
      </c>
      <c r="K23" s="7">
        <f>J23*1000/100</f>
        <v>134.19999999999999</v>
      </c>
      <c r="L23" s="4"/>
      <c r="M23" s="9">
        <f t="shared" si="1"/>
        <v>91.716316635842034</v>
      </c>
      <c r="N23" s="3">
        <v>109.5608196</v>
      </c>
      <c r="O23" s="3">
        <v>110</v>
      </c>
      <c r="P23" s="3"/>
      <c r="Q23" s="3"/>
      <c r="R23" s="3"/>
      <c r="S23" s="3"/>
      <c r="T23" s="3"/>
      <c r="U23" s="3"/>
      <c r="V23" s="4"/>
      <c r="W23" s="3"/>
      <c r="X23" s="3"/>
      <c r="Y23" s="3"/>
    </row>
    <row r="24" spans="1:25" x14ac:dyDescent="0.35">
      <c r="A24">
        <v>2001</v>
      </c>
      <c r="B24">
        <v>8000</v>
      </c>
      <c r="C24">
        <v>2387.5338750000001</v>
      </c>
      <c r="D24">
        <v>748.60714289999999</v>
      </c>
      <c r="E24">
        <v>43.154285710000003</v>
      </c>
      <c r="F24">
        <v>5.3760000000000003</v>
      </c>
      <c r="G24">
        <v>846</v>
      </c>
      <c r="H24">
        <v>218.88</v>
      </c>
      <c r="I24" s="7">
        <f t="shared" si="0"/>
        <v>12249.55130361</v>
      </c>
      <c r="J24">
        <v>13.6</v>
      </c>
      <c r="K24" s="7">
        <f>J24*1000/100</f>
        <v>136</v>
      </c>
      <c r="L24" s="4"/>
      <c r="M24" s="9">
        <f t="shared" si="1"/>
        <v>90.070230173602937</v>
      </c>
      <c r="N24" s="3">
        <v>107.23419010000001</v>
      </c>
      <c r="O24" s="3"/>
      <c r="P24" s="3"/>
      <c r="Q24" s="3"/>
      <c r="R24" s="3"/>
      <c r="S24" s="3">
        <v>74.400000000000006</v>
      </c>
      <c r="T24" s="3"/>
      <c r="U24" s="3"/>
      <c r="V24" s="4"/>
      <c r="W24" s="3"/>
      <c r="X24" s="3"/>
      <c r="Y24" s="3"/>
    </row>
    <row r="25" spans="1:25" x14ac:dyDescent="0.35">
      <c r="A25">
        <v>2002</v>
      </c>
      <c r="B25">
        <v>8000</v>
      </c>
      <c r="C25">
        <v>2344.8873480000002</v>
      </c>
      <c r="D25">
        <v>731.97142859999997</v>
      </c>
      <c r="E25">
        <v>40.96</v>
      </c>
      <c r="F25">
        <v>5.3760000000000003</v>
      </c>
      <c r="G25">
        <v>846</v>
      </c>
      <c r="H25">
        <v>225.36</v>
      </c>
      <c r="I25" s="7">
        <f t="shared" si="0"/>
        <v>12194.5547766</v>
      </c>
      <c r="J25">
        <v>13.722222220000001</v>
      </c>
      <c r="K25" s="7">
        <f>J25*1000/100</f>
        <v>137.2222222</v>
      </c>
      <c r="L25" s="4"/>
      <c r="M25" s="9">
        <f t="shared" si="1"/>
        <v>88.867200815525052</v>
      </c>
      <c r="N25" s="3">
        <v>104.9569687</v>
      </c>
      <c r="O25" s="3"/>
      <c r="P25" s="3"/>
      <c r="Q25" s="3"/>
      <c r="R25" s="3"/>
      <c r="S25" s="3">
        <v>74.400000000000006</v>
      </c>
      <c r="T25" s="3"/>
      <c r="U25" s="3"/>
      <c r="V25" s="4"/>
      <c r="W25" s="3"/>
      <c r="X25" s="3"/>
      <c r="Y25" s="3"/>
    </row>
    <row r="26" spans="1:25" x14ac:dyDescent="0.35">
      <c r="A26">
        <v>2003</v>
      </c>
      <c r="B26">
        <v>8000</v>
      </c>
      <c r="C26">
        <v>2317.892053</v>
      </c>
      <c r="D26">
        <v>715.33571429999995</v>
      </c>
      <c r="E26">
        <v>38.765714289999998</v>
      </c>
      <c r="F26">
        <v>5.3760000000000003</v>
      </c>
      <c r="G26">
        <v>846</v>
      </c>
      <c r="H26">
        <v>231.84</v>
      </c>
      <c r="I26" s="7">
        <f t="shared" si="0"/>
        <v>12155.20948159</v>
      </c>
      <c r="J26">
        <v>13.84444444</v>
      </c>
      <c r="K26" s="7">
        <f>J26*1000/100</f>
        <v>138.44444439999998</v>
      </c>
      <c r="L26" s="4"/>
      <c r="M26" s="9">
        <f t="shared" si="1"/>
        <v>87.798463378354256</v>
      </c>
      <c r="N26" s="3">
        <v>102.7281064</v>
      </c>
      <c r="O26" s="3"/>
      <c r="P26" s="3"/>
      <c r="Q26" s="3"/>
      <c r="R26" s="3"/>
      <c r="S26" s="3">
        <v>74.400000000000006</v>
      </c>
      <c r="T26" s="3">
        <v>102.7</v>
      </c>
      <c r="U26" s="3"/>
      <c r="V26" s="4"/>
      <c r="W26" s="3"/>
      <c r="X26" s="3"/>
      <c r="Y26" s="3"/>
    </row>
    <row r="27" spans="1:25" x14ac:dyDescent="0.35">
      <c r="A27">
        <v>2004</v>
      </c>
      <c r="B27">
        <v>8000</v>
      </c>
      <c r="C27">
        <v>2256.0192619999998</v>
      </c>
      <c r="D27">
        <v>698.7</v>
      </c>
      <c r="E27">
        <v>36.571428570000002</v>
      </c>
      <c r="F27">
        <v>5.3760000000000003</v>
      </c>
      <c r="G27">
        <v>846</v>
      </c>
      <c r="H27">
        <v>238.0421533</v>
      </c>
      <c r="I27" s="7">
        <f t="shared" si="0"/>
        <v>12080.708843870001</v>
      </c>
      <c r="J27">
        <v>13.96666667</v>
      </c>
      <c r="K27" s="7">
        <f>J27*1000/100</f>
        <v>139.66666670000001</v>
      </c>
      <c r="L27" s="4"/>
      <c r="M27" s="9">
        <f t="shared" si="1"/>
        <v>86.4967220118385</v>
      </c>
      <c r="N27" s="3">
        <v>100.5465761</v>
      </c>
      <c r="O27" s="3"/>
      <c r="P27" s="3"/>
      <c r="Q27" s="3"/>
      <c r="R27" s="3"/>
      <c r="S27" s="3">
        <v>74.400000000000006</v>
      </c>
      <c r="T27" s="3">
        <v>102.7</v>
      </c>
      <c r="U27" s="3"/>
      <c r="V27" s="4"/>
      <c r="W27" s="3"/>
      <c r="X27" s="3"/>
      <c r="Y27" s="3"/>
    </row>
    <row r="28" spans="1:25" x14ac:dyDescent="0.35">
      <c r="A28">
        <v>2005</v>
      </c>
      <c r="B28">
        <v>8000</v>
      </c>
      <c r="C28">
        <v>2113.8328529999999</v>
      </c>
      <c r="D28">
        <v>582.25</v>
      </c>
      <c r="E28">
        <v>34.377142859999999</v>
      </c>
      <c r="F28">
        <v>5.3760000000000003</v>
      </c>
      <c r="G28">
        <v>846</v>
      </c>
      <c r="H28">
        <v>244.22710620000001</v>
      </c>
      <c r="I28" s="7">
        <f t="shared" si="0"/>
        <v>11826.063102059999</v>
      </c>
      <c r="J28">
        <v>14.08888889</v>
      </c>
      <c r="K28" s="7">
        <f>J28*1000/100</f>
        <v>140.88888890000001</v>
      </c>
      <c r="L28" s="4"/>
      <c r="M28" s="9">
        <f t="shared" si="1"/>
        <v>83.938933683080521</v>
      </c>
      <c r="N28" s="3">
        <v>98.411372709999995</v>
      </c>
      <c r="O28" s="3">
        <v>98</v>
      </c>
      <c r="P28" s="3"/>
      <c r="Q28" s="3"/>
      <c r="R28" s="3">
        <v>101.6</v>
      </c>
      <c r="S28" s="3">
        <v>74.400000000000006</v>
      </c>
      <c r="T28" s="3">
        <v>102.7</v>
      </c>
      <c r="U28" s="3"/>
      <c r="V28" s="4"/>
      <c r="W28" s="3"/>
      <c r="X28" s="3"/>
      <c r="Y28" s="3"/>
    </row>
    <row r="29" spans="1:25" x14ac:dyDescent="0.35">
      <c r="A29">
        <v>2006</v>
      </c>
      <c r="B29">
        <v>8000</v>
      </c>
      <c r="C29">
        <v>2083.4794809999999</v>
      </c>
      <c r="D29">
        <v>465.8</v>
      </c>
      <c r="E29">
        <v>32.182857140000003</v>
      </c>
      <c r="F29">
        <v>5.3760000000000003</v>
      </c>
      <c r="G29">
        <v>846</v>
      </c>
      <c r="H29">
        <v>270.84237130000002</v>
      </c>
      <c r="I29" s="7">
        <f t="shared" si="0"/>
        <v>11703.680709439999</v>
      </c>
      <c r="J29">
        <v>14.211111109999999</v>
      </c>
      <c r="K29" s="7">
        <f>J29*1000/100</f>
        <v>142.11111109999999</v>
      </c>
      <c r="L29" s="4"/>
      <c r="M29" s="9">
        <f t="shared" si="1"/>
        <v>82.355845498980131</v>
      </c>
      <c r="N29" s="3">
        <v>96.321512409999997</v>
      </c>
      <c r="O29" s="3"/>
      <c r="P29" s="3"/>
      <c r="Q29" s="3"/>
      <c r="R29" s="3">
        <v>101.6</v>
      </c>
      <c r="S29" s="3">
        <v>74.400000000000006</v>
      </c>
      <c r="T29" s="3">
        <v>102.7</v>
      </c>
      <c r="U29" s="3"/>
      <c r="V29" s="4"/>
      <c r="W29" s="3"/>
      <c r="X29" s="3"/>
      <c r="Y29" s="3"/>
    </row>
    <row r="30" spans="1:25" x14ac:dyDescent="0.35">
      <c r="A30">
        <v>2007</v>
      </c>
      <c r="B30">
        <v>8000</v>
      </c>
      <c r="C30">
        <v>2054.6821599999998</v>
      </c>
      <c r="D30">
        <v>442.51</v>
      </c>
      <c r="E30">
        <v>29.98857143</v>
      </c>
      <c r="F30">
        <v>5.3760000000000003</v>
      </c>
      <c r="G30">
        <v>846</v>
      </c>
      <c r="H30">
        <v>297.39114389999997</v>
      </c>
      <c r="I30" s="7">
        <f t="shared" si="0"/>
        <v>11675.947875330001</v>
      </c>
      <c r="J30">
        <v>14.33333333</v>
      </c>
      <c r="K30" s="7">
        <f>J30*1000/100</f>
        <v>143.33333329999999</v>
      </c>
      <c r="L30" s="4"/>
      <c r="M30" s="9">
        <f t="shared" si="1"/>
        <v>81.460101474734913</v>
      </c>
      <c r="N30" s="3">
        <v>94.276032310000005</v>
      </c>
      <c r="O30" s="3"/>
      <c r="P30" s="3">
        <v>102.3</v>
      </c>
      <c r="Q30" s="3"/>
      <c r="R30" s="3">
        <v>101.6</v>
      </c>
      <c r="S30" s="3">
        <v>74.400000000000006</v>
      </c>
      <c r="T30" s="3">
        <v>102.7</v>
      </c>
      <c r="U30" s="3"/>
      <c r="V30" s="4"/>
      <c r="W30" s="3"/>
      <c r="X30" s="3"/>
      <c r="Y30" s="3"/>
    </row>
    <row r="31" spans="1:25" x14ac:dyDescent="0.35">
      <c r="A31">
        <v>2008</v>
      </c>
      <c r="B31">
        <v>8000</v>
      </c>
      <c r="C31">
        <v>2027.3242250000001</v>
      </c>
      <c r="D31">
        <v>419.22</v>
      </c>
      <c r="E31">
        <v>27.79428571</v>
      </c>
      <c r="F31">
        <v>5.3760000000000003</v>
      </c>
      <c r="G31">
        <v>846</v>
      </c>
      <c r="H31">
        <v>323.87268519999998</v>
      </c>
      <c r="I31" s="7">
        <f t="shared" si="0"/>
        <v>11649.58719591</v>
      </c>
      <c r="J31">
        <v>14.455555560000001</v>
      </c>
      <c r="K31" s="7">
        <f>J31*1000/100</f>
        <v>144.55555560000002</v>
      </c>
      <c r="L31" s="4"/>
      <c r="M31" s="9">
        <f t="shared" si="1"/>
        <v>80.588996718642889</v>
      </c>
      <c r="N31" s="3">
        <v>92.273989950000001</v>
      </c>
      <c r="O31" s="3"/>
      <c r="P31" s="3">
        <v>102.3</v>
      </c>
      <c r="Q31" s="3"/>
      <c r="R31" s="3">
        <v>101.6</v>
      </c>
      <c r="S31" s="3">
        <v>74.400000000000006</v>
      </c>
      <c r="T31" s="3">
        <v>102.7</v>
      </c>
      <c r="U31" s="3"/>
      <c r="V31" s="4"/>
      <c r="W31" s="3"/>
      <c r="X31" s="3"/>
      <c r="Y31" s="3"/>
    </row>
    <row r="32" spans="1:25" x14ac:dyDescent="0.35">
      <c r="A32">
        <v>2009</v>
      </c>
      <c r="B32">
        <v>8000</v>
      </c>
      <c r="C32">
        <v>2001.3003900000001</v>
      </c>
      <c r="D32">
        <v>419.22</v>
      </c>
      <c r="E32">
        <v>25.6</v>
      </c>
      <c r="F32">
        <v>5.3760000000000003</v>
      </c>
      <c r="G32">
        <v>846</v>
      </c>
      <c r="H32">
        <v>350.28624539999998</v>
      </c>
      <c r="I32" s="7">
        <f t="shared" si="0"/>
        <v>11647.782635400001</v>
      </c>
      <c r="J32">
        <v>14.57777778</v>
      </c>
      <c r="K32" s="7">
        <f>J32*1000/100</f>
        <v>145.7777778</v>
      </c>
      <c r="L32" s="4"/>
      <c r="M32" s="9">
        <f t="shared" si="1"/>
        <v>79.900947944069983</v>
      </c>
      <c r="N32" s="3">
        <v>90.314462890000001</v>
      </c>
      <c r="O32" s="3"/>
      <c r="P32" s="3">
        <v>102.3</v>
      </c>
      <c r="Q32" s="3"/>
      <c r="R32" s="3">
        <v>101.6</v>
      </c>
      <c r="S32" s="3">
        <v>74.400000000000006</v>
      </c>
      <c r="T32" s="3">
        <v>102.7</v>
      </c>
      <c r="U32" s="3"/>
      <c r="V32" s="4"/>
      <c r="W32" s="3"/>
      <c r="X32" s="3"/>
      <c r="Y32" s="3"/>
    </row>
    <row r="33" spans="1:25" x14ac:dyDescent="0.35">
      <c r="A33">
        <v>2010</v>
      </c>
      <c r="B33">
        <v>8000</v>
      </c>
      <c r="C33">
        <v>1987.1506589999999</v>
      </c>
      <c r="D33">
        <v>419.22</v>
      </c>
      <c r="E33">
        <v>12.327416169999999</v>
      </c>
      <c r="F33">
        <v>5.3760000000000003</v>
      </c>
      <c r="G33">
        <v>846</v>
      </c>
      <c r="H33">
        <v>376.63106340000002</v>
      </c>
      <c r="I33" s="7">
        <f t="shared" si="0"/>
        <v>11646.705138569998</v>
      </c>
      <c r="J33">
        <v>14.7</v>
      </c>
      <c r="K33" s="7">
        <f>J33*1000/100</f>
        <v>147</v>
      </c>
      <c r="L33" s="4"/>
      <c r="M33" s="9">
        <f t="shared" si="1"/>
        <v>79.229286656938754</v>
      </c>
      <c r="N33" s="3">
        <v>88.396548280000005</v>
      </c>
      <c r="O33" s="3">
        <v>95</v>
      </c>
      <c r="P33" s="3">
        <v>102.3</v>
      </c>
      <c r="Q33" s="3"/>
      <c r="R33" s="3">
        <v>101.6</v>
      </c>
      <c r="S33" s="3">
        <v>74.400000000000006</v>
      </c>
      <c r="T33" s="3">
        <v>102.7</v>
      </c>
      <c r="U33" s="3"/>
      <c r="V33" s="4"/>
      <c r="W33" s="3"/>
      <c r="X33" s="3"/>
      <c r="Y33" s="3"/>
    </row>
    <row r="34" spans="1:25" x14ac:dyDescent="0.35">
      <c r="A34">
        <v>2011</v>
      </c>
      <c r="B34">
        <v>8000</v>
      </c>
      <c r="C34">
        <v>1966.59313</v>
      </c>
      <c r="D34">
        <v>419.22</v>
      </c>
      <c r="E34">
        <v>10.272846810000001</v>
      </c>
      <c r="F34">
        <v>5.3760000000000003</v>
      </c>
      <c r="G34">
        <v>846</v>
      </c>
      <c r="H34">
        <v>402.90636699999999</v>
      </c>
      <c r="I34" s="7">
        <f t="shared" si="0"/>
        <v>11650.368343809998</v>
      </c>
      <c r="J34">
        <v>15.1</v>
      </c>
      <c r="K34" s="7">
        <f>J34*1000/100</f>
        <v>151</v>
      </c>
      <c r="L34" s="4"/>
      <c r="M34" s="9">
        <f t="shared" si="1"/>
        <v>77.154757243774824</v>
      </c>
      <c r="N34" s="3">
        <v>86.519362419999993</v>
      </c>
      <c r="O34" s="3"/>
      <c r="P34" s="3">
        <v>102.3</v>
      </c>
      <c r="Q34" s="3"/>
      <c r="R34" s="3">
        <v>101.6</v>
      </c>
      <c r="S34" s="3">
        <v>74.400000000000006</v>
      </c>
      <c r="T34" s="3">
        <v>102.7</v>
      </c>
      <c r="U34" s="3"/>
      <c r="V34" s="4"/>
      <c r="W34" s="3"/>
      <c r="X34" s="3"/>
      <c r="Y34" s="3"/>
    </row>
    <row r="35" spans="1:25" x14ac:dyDescent="0.35">
      <c r="A35">
        <v>2012</v>
      </c>
      <c r="B35">
        <v>8080</v>
      </c>
      <c r="C35">
        <v>1962.9861980000001</v>
      </c>
      <c r="D35">
        <v>419.22</v>
      </c>
      <c r="E35">
        <v>8.2182774490000003</v>
      </c>
      <c r="F35">
        <v>5.3760000000000003</v>
      </c>
      <c r="G35">
        <v>846</v>
      </c>
      <c r="H35">
        <v>424.82025850000002</v>
      </c>
      <c r="I35" s="7">
        <f t="shared" si="0"/>
        <v>11746.620733948999</v>
      </c>
      <c r="J35">
        <v>15.4</v>
      </c>
      <c r="K35" s="7">
        <f>J35*1000/100</f>
        <v>154</v>
      </c>
      <c r="L35" s="4"/>
      <c r="M35" s="9">
        <f t="shared" si="1"/>
        <v>76.276758012655833</v>
      </c>
      <c r="N35" s="3">
        <v>84.682040420000007</v>
      </c>
      <c r="O35" s="3">
        <v>78</v>
      </c>
      <c r="P35" s="3">
        <v>102.3</v>
      </c>
      <c r="Q35" s="3">
        <v>102</v>
      </c>
      <c r="R35" s="3">
        <v>101.6</v>
      </c>
      <c r="S35" s="3">
        <v>74.400000000000006</v>
      </c>
      <c r="T35" s="3">
        <v>102.7</v>
      </c>
      <c r="U35" s="3"/>
      <c r="V35" s="4"/>
      <c r="W35" s="3"/>
      <c r="X35" s="3"/>
      <c r="Y35" s="3"/>
    </row>
    <row r="36" spans="1:25" x14ac:dyDescent="0.35">
      <c r="A36">
        <v>2013</v>
      </c>
      <c r="B36">
        <v>8160</v>
      </c>
      <c r="C36">
        <v>1619.458128</v>
      </c>
      <c r="D36">
        <v>419.22</v>
      </c>
      <c r="E36">
        <v>5.7527942139999997</v>
      </c>
      <c r="F36">
        <v>5.3760000000000003</v>
      </c>
      <c r="G36">
        <v>846</v>
      </c>
      <c r="H36">
        <v>446.14037739999998</v>
      </c>
      <c r="I36" s="7">
        <f t="shared" si="0"/>
        <v>11501.947299613999</v>
      </c>
      <c r="J36">
        <v>16</v>
      </c>
      <c r="K36" s="7">
        <f>J36*1000/100</f>
        <v>160</v>
      </c>
      <c r="L36" s="4"/>
      <c r="M36" s="9">
        <f t="shared" si="1"/>
        <v>71.88717062258749</v>
      </c>
      <c r="N36" s="3">
        <v>82.883735720000004</v>
      </c>
      <c r="O36" s="3"/>
      <c r="P36" s="3">
        <v>102.3</v>
      </c>
      <c r="Q36" s="3">
        <v>102</v>
      </c>
      <c r="R36" s="3">
        <v>101.6</v>
      </c>
      <c r="S36" s="3">
        <v>74.400000000000006</v>
      </c>
      <c r="T36" s="3">
        <v>102.7</v>
      </c>
      <c r="U36" s="3"/>
      <c r="V36" s="4"/>
      <c r="W36" s="3"/>
      <c r="X36" s="3"/>
      <c r="Y36" s="3"/>
    </row>
    <row r="37" spans="1:25" x14ac:dyDescent="0.35">
      <c r="A37">
        <v>2014</v>
      </c>
      <c r="B37">
        <v>8292.7000000000007</v>
      </c>
      <c r="C37">
        <v>1592.739726</v>
      </c>
      <c r="D37">
        <v>419.22</v>
      </c>
      <c r="E37">
        <v>5.3418803419999996</v>
      </c>
      <c r="F37">
        <v>5.3760000000000003</v>
      </c>
      <c r="G37">
        <v>848.09</v>
      </c>
      <c r="H37">
        <v>450.12</v>
      </c>
      <c r="I37" s="7">
        <f t="shared" si="0"/>
        <v>11613.587606342002</v>
      </c>
      <c r="J37">
        <v>16.3</v>
      </c>
      <c r="K37" s="7">
        <f>J37*1000/100</f>
        <v>163</v>
      </c>
      <c r="L37" s="4"/>
      <c r="M37" s="9">
        <f t="shared" si="1"/>
        <v>71.249003719889586</v>
      </c>
      <c r="N37" s="3">
        <v>81.123619750000003</v>
      </c>
      <c r="O37" s="3"/>
      <c r="P37" s="3">
        <v>102.3</v>
      </c>
      <c r="Q37" s="3">
        <v>102</v>
      </c>
      <c r="R37" s="3">
        <v>101.6</v>
      </c>
      <c r="S37" s="3">
        <v>74.400000000000006</v>
      </c>
      <c r="T37" s="3">
        <v>102.7</v>
      </c>
      <c r="U37" s="3"/>
      <c r="V37" s="4"/>
      <c r="W37" s="3"/>
      <c r="X37" s="3"/>
      <c r="Y37" s="3"/>
    </row>
    <row r="38" spans="1:25" x14ac:dyDescent="0.35">
      <c r="A38">
        <v>2015</v>
      </c>
      <c r="B38">
        <v>8225.6625000000004</v>
      </c>
      <c r="C38">
        <v>1495.242424</v>
      </c>
      <c r="D38">
        <v>419.22</v>
      </c>
      <c r="E38">
        <v>4.5200525970000003</v>
      </c>
      <c r="F38">
        <v>5.7881600000000004</v>
      </c>
      <c r="G38">
        <v>850.28</v>
      </c>
      <c r="H38">
        <v>469.04871969999999</v>
      </c>
      <c r="I38" s="7">
        <f t="shared" si="0"/>
        <v>11469.761856297</v>
      </c>
      <c r="J38">
        <v>17</v>
      </c>
      <c r="K38" s="7">
        <f>J38*1000/100</f>
        <v>170</v>
      </c>
      <c r="L38" s="4"/>
      <c r="M38" s="9">
        <f t="shared" si="1"/>
        <v>67.469187389982352</v>
      </c>
      <c r="N38" s="3">
        <v>79.40088154</v>
      </c>
      <c r="O38" s="3">
        <v>65</v>
      </c>
      <c r="P38" s="3">
        <v>102.3</v>
      </c>
      <c r="Q38" s="3">
        <v>102</v>
      </c>
      <c r="R38" s="3">
        <v>101.6</v>
      </c>
      <c r="S38" s="3">
        <v>74.400000000000006</v>
      </c>
      <c r="T38" s="3">
        <v>102.7</v>
      </c>
      <c r="U38" s="3"/>
      <c r="V38" s="4"/>
      <c r="W38" s="3"/>
      <c r="X38" s="3"/>
      <c r="Y38" s="3"/>
    </row>
    <row r="39" spans="1:25" x14ac:dyDescent="0.35">
      <c r="A39">
        <v>2016</v>
      </c>
      <c r="B39">
        <v>8158.8874999999998</v>
      </c>
      <c r="C39">
        <v>1412.526316</v>
      </c>
      <c r="D39">
        <v>419.22</v>
      </c>
      <c r="E39">
        <v>4.0997570090000002</v>
      </c>
      <c r="F39">
        <v>6.2003199999999996</v>
      </c>
      <c r="G39">
        <v>852.81</v>
      </c>
      <c r="H39">
        <v>488.55303370000001</v>
      </c>
      <c r="I39" s="7">
        <f t="shared" si="0"/>
        <v>11342.296926708999</v>
      </c>
      <c r="J39">
        <v>17.5</v>
      </c>
      <c r="K39" s="7">
        <f>J39*1000/100</f>
        <v>175</v>
      </c>
      <c r="L39" s="4"/>
      <c r="M39" s="9">
        <f t="shared" si="1"/>
        <v>64.813125295479992</v>
      </c>
      <c r="N39" s="3">
        <v>77.714727339999996</v>
      </c>
      <c r="O39" s="3"/>
      <c r="P39" s="3">
        <v>102.3</v>
      </c>
      <c r="Q39" s="3">
        <v>102</v>
      </c>
      <c r="R39" s="3">
        <v>101.6</v>
      </c>
      <c r="S39" s="3">
        <v>74.400000000000006</v>
      </c>
      <c r="T39" s="3">
        <v>102.7</v>
      </c>
      <c r="U39" s="3"/>
      <c r="V39" s="4"/>
      <c r="W39" s="3"/>
      <c r="X39" s="3"/>
      <c r="Y39" s="3"/>
    </row>
    <row r="40" spans="1:25" x14ac:dyDescent="0.35">
      <c r="A40">
        <v>2017</v>
      </c>
      <c r="B40">
        <v>8289.75</v>
      </c>
      <c r="C40">
        <v>1379.8208959999999</v>
      </c>
      <c r="D40">
        <v>419.22</v>
      </c>
      <c r="E40">
        <v>4.079706754</v>
      </c>
      <c r="F40">
        <v>7.2038399999999996</v>
      </c>
      <c r="G40">
        <v>847.99</v>
      </c>
      <c r="H40">
        <v>480.42291669999997</v>
      </c>
      <c r="I40" s="7">
        <f t="shared" si="0"/>
        <v>11428.487359453999</v>
      </c>
      <c r="J40">
        <v>17.7</v>
      </c>
      <c r="K40" s="7">
        <f>J40*1000/100</f>
        <v>177</v>
      </c>
      <c r="L40" s="4"/>
      <c r="M40" s="9">
        <f t="shared" si="1"/>
        <v>64.567725194655353</v>
      </c>
      <c r="N40" s="3">
        <v>76.064380240000006</v>
      </c>
      <c r="O40" s="3"/>
      <c r="P40" s="3">
        <v>102.3</v>
      </c>
      <c r="Q40" s="3">
        <v>102</v>
      </c>
      <c r="R40" s="3">
        <v>101.6</v>
      </c>
      <c r="S40" s="3">
        <v>74.400000000000006</v>
      </c>
      <c r="T40" s="3">
        <v>102.7</v>
      </c>
      <c r="U40" s="3"/>
      <c r="V40" s="4"/>
      <c r="W40" s="3"/>
      <c r="X40" s="3"/>
      <c r="Y40" s="3"/>
    </row>
    <row r="41" spans="1:25" x14ac:dyDescent="0.35">
      <c r="A41">
        <v>2018</v>
      </c>
      <c r="B41">
        <v>8350.15</v>
      </c>
      <c r="C41">
        <v>1361.666667</v>
      </c>
      <c r="D41">
        <v>410.85500830000001</v>
      </c>
      <c r="E41">
        <v>4.3143250719999999</v>
      </c>
      <c r="F41">
        <v>7.45472</v>
      </c>
      <c r="G41">
        <v>848.95500000000004</v>
      </c>
      <c r="H41">
        <v>472.89833329999999</v>
      </c>
      <c r="I41" s="7">
        <f t="shared" si="0"/>
        <v>11456.294053672</v>
      </c>
      <c r="J41">
        <v>18.399999999999999</v>
      </c>
      <c r="K41" s="7">
        <f>J41*1000/100</f>
        <v>184</v>
      </c>
      <c r="L41" s="4"/>
      <c r="M41" s="9">
        <f t="shared" si="1"/>
        <v>62.262467682999997</v>
      </c>
      <c r="N41" s="3">
        <v>74.449079859999998</v>
      </c>
      <c r="O41" s="3"/>
      <c r="P41" s="3">
        <v>102.3</v>
      </c>
      <c r="Q41" s="3">
        <v>102</v>
      </c>
      <c r="R41" s="3">
        <v>101.6</v>
      </c>
      <c r="S41" s="3">
        <v>74.400000000000006</v>
      </c>
      <c r="T41" s="3">
        <v>102.7</v>
      </c>
      <c r="U41" s="3"/>
      <c r="V41" s="4"/>
      <c r="W41" s="3"/>
      <c r="X41" s="3"/>
      <c r="Y41" s="3"/>
    </row>
    <row r="42" spans="1:25" x14ac:dyDescent="0.35">
      <c r="A42">
        <v>2019</v>
      </c>
      <c r="B42">
        <v>8607.5</v>
      </c>
      <c r="C42">
        <v>1343.6470589999999</v>
      </c>
      <c r="D42">
        <v>402.1406667</v>
      </c>
      <c r="E42">
        <v>4.1223937919999996</v>
      </c>
      <c r="F42">
        <v>8.26112</v>
      </c>
      <c r="G42">
        <v>851.31</v>
      </c>
      <c r="H42">
        <v>463.21199999999999</v>
      </c>
      <c r="I42" s="7">
        <f t="shared" si="0"/>
        <v>11680.193239491997</v>
      </c>
      <c r="J42">
        <v>19.2</v>
      </c>
      <c r="K42" s="7">
        <f>J42*1000/100</f>
        <v>192</v>
      </c>
      <c r="L42" s="4"/>
      <c r="M42" s="9">
        <f t="shared" si="1"/>
        <v>60.834339789020817</v>
      </c>
      <c r="N42" s="3">
        <v>72.868081930000002</v>
      </c>
      <c r="O42" s="3"/>
      <c r="P42" s="3">
        <v>102.3</v>
      </c>
      <c r="Q42" s="3">
        <v>102</v>
      </c>
      <c r="R42" s="3">
        <v>101.6</v>
      </c>
      <c r="S42" s="3">
        <v>74.400000000000006</v>
      </c>
      <c r="T42" s="3">
        <v>102.7</v>
      </c>
      <c r="U42" s="3"/>
      <c r="V42" s="4"/>
      <c r="W42" s="3"/>
      <c r="X42" s="3"/>
      <c r="Y42" s="3"/>
    </row>
    <row r="43" spans="1:25" x14ac:dyDescent="0.35">
      <c r="A43">
        <v>2020</v>
      </c>
      <c r="B43">
        <v>8975.5</v>
      </c>
      <c r="C43">
        <v>1343.6470589999999</v>
      </c>
      <c r="D43">
        <v>395.54183339999997</v>
      </c>
      <c r="E43">
        <v>3.3920347419999999</v>
      </c>
      <c r="F43">
        <v>8.2252799999999997</v>
      </c>
      <c r="G43">
        <v>849.44500000000005</v>
      </c>
      <c r="H43">
        <v>432.53280000000001</v>
      </c>
      <c r="I43" s="7">
        <f t="shared" si="0"/>
        <v>12008.284007142001</v>
      </c>
      <c r="J43">
        <v>20</v>
      </c>
      <c r="K43" s="7">
        <f>J43*1000/100</f>
        <v>200</v>
      </c>
      <c r="L43" s="4"/>
      <c r="M43" s="9">
        <f t="shared" si="1"/>
        <v>60.041420035710004</v>
      </c>
      <c r="N43" s="3">
        <v>71.320658019999996</v>
      </c>
      <c r="O43" s="3">
        <v>65</v>
      </c>
      <c r="P43" s="3">
        <v>102.3</v>
      </c>
      <c r="Q43" s="3">
        <v>102</v>
      </c>
      <c r="R43" s="3">
        <v>101.6</v>
      </c>
      <c r="S43" s="3">
        <v>74.400000000000006</v>
      </c>
      <c r="T43" s="3">
        <v>102.7</v>
      </c>
      <c r="U43" s="3">
        <v>76</v>
      </c>
      <c r="V43" s="4"/>
      <c r="W43" s="3"/>
      <c r="X43" s="3"/>
      <c r="Y43" s="3"/>
    </row>
    <row r="44" spans="1:25" x14ac:dyDescent="0.35">
      <c r="A44">
        <v>2021</v>
      </c>
      <c r="B44">
        <v>9284.5874999999996</v>
      </c>
      <c r="C44">
        <v>1272.176471</v>
      </c>
      <c r="D44">
        <v>388.94299999999998</v>
      </c>
      <c r="E44">
        <v>3.5070153730000002</v>
      </c>
      <c r="F44">
        <v>8.2700800000000001</v>
      </c>
      <c r="G44">
        <v>809.71</v>
      </c>
      <c r="H44">
        <v>408.81599999999997</v>
      </c>
      <c r="I44" s="7">
        <f t="shared" si="0"/>
        <v>12176.010066372999</v>
      </c>
      <c r="J44">
        <v>20.9</v>
      </c>
      <c r="K44" s="7">
        <f>J44*1000/100</f>
        <v>209</v>
      </c>
      <c r="L44" s="4"/>
      <c r="M44" s="9">
        <f t="shared" si="1"/>
        <v>58.258421370205738</v>
      </c>
      <c r="N44" s="3">
        <v>69.806095139999996</v>
      </c>
      <c r="O44" s="3"/>
      <c r="P44" s="3">
        <v>102.3</v>
      </c>
      <c r="Q44" s="3">
        <v>102</v>
      </c>
      <c r="R44" s="3">
        <v>101.6</v>
      </c>
      <c r="S44" s="3">
        <v>74.400000000000006</v>
      </c>
      <c r="T44" s="3">
        <v>102.7</v>
      </c>
      <c r="U44" s="3">
        <v>76</v>
      </c>
      <c r="V44" s="4"/>
      <c r="W44" s="3"/>
      <c r="X44" s="3"/>
      <c r="Y44" s="3"/>
    </row>
    <row r="45" spans="1:25" x14ac:dyDescent="0.35">
      <c r="A45">
        <v>2022</v>
      </c>
      <c r="B45">
        <v>9626.5</v>
      </c>
      <c r="C45">
        <v>1250.7352940000001</v>
      </c>
      <c r="D45">
        <v>384.28500000000003</v>
      </c>
      <c r="E45">
        <v>3.2258721709999998</v>
      </c>
      <c r="F45">
        <v>8.3148800000000005</v>
      </c>
      <c r="G45">
        <v>782.70749999999998</v>
      </c>
      <c r="H45">
        <v>398.37720000000002</v>
      </c>
      <c r="I45" s="7">
        <f t="shared" si="0"/>
        <v>12454.145746171002</v>
      </c>
      <c r="J45">
        <v>21.1</v>
      </c>
      <c r="K45" s="7">
        <f>J45*1000/100</f>
        <v>211</v>
      </c>
      <c r="L45" s="4"/>
      <c r="M45" s="9">
        <f t="shared" si="1"/>
        <v>59.024387422611383</v>
      </c>
      <c r="N45" s="3">
        <v>68.323695470000004</v>
      </c>
      <c r="O45" s="3"/>
      <c r="P45" s="3">
        <v>102.3</v>
      </c>
      <c r="Q45" s="3">
        <v>102</v>
      </c>
      <c r="R45" s="3">
        <v>101.6</v>
      </c>
      <c r="S45" s="3">
        <v>74.400000000000006</v>
      </c>
      <c r="T45" s="3">
        <v>102.7</v>
      </c>
      <c r="U45" s="3">
        <v>76</v>
      </c>
      <c r="V45" s="4"/>
      <c r="W45" s="3"/>
      <c r="X45" s="3"/>
      <c r="Y45" s="3"/>
    </row>
    <row r="46" spans="1:25" x14ac:dyDescent="0.35">
      <c r="A46">
        <v>2023</v>
      </c>
      <c r="B46">
        <v>9805.4500000000007</v>
      </c>
      <c r="C46">
        <v>1229.294118</v>
      </c>
      <c r="D46">
        <v>374.96899999999999</v>
      </c>
      <c r="E46">
        <v>3.0168606480000002</v>
      </c>
      <c r="F46">
        <v>8.3865599999999993</v>
      </c>
      <c r="G46">
        <v>778.33500000000004</v>
      </c>
      <c r="H46">
        <v>387.84320000000002</v>
      </c>
      <c r="I46" s="7">
        <f t="shared" si="0"/>
        <v>12587.294738648001</v>
      </c>
      <c r="J46">
        <v>21.8</v>
      </c>
      <c r="K46" s="7">
        <f>J46*1000/100</f>
        <v>218</v>
      </c>
      <c r="L46" s="4"/>
      <c r="M46" s="9">
        <f t="shared" si="1"/>
        <v>57.739884122238536</v>
      </c>
      <c r="N46" s="3">
        <v>66.87277598</v>
      </c>
      <c r="O46" s="3"/>
      <c r="P46" s="3">
        <v>102.3</v>
      </c>
      <c r="Q46" s="3">
        <v>102</v>
      </c>
      <c r="R46" s="3">
        <v>101.6</v>
      </c>
      <c r="S46" s="3">
        <v>74.400000000000006</v>
      </c>
      <c r="T46" s="3">
        <v>102.7</v>
      </c>
      <c r="U46" s="3">
        <v>76</v>
      </c>
      <c r="V46" s="4"/>
      <c r="W46" s="3"/>
      <c r="X46" s="3"/>
      <c r="Y46" s="3"/>
    </row>
    <row r="47" spans="1:25" x14ac:dyDescent="0.35">
      <c r="A47">
        <v>2024</v>
      </c>
      <c r="B47">
        <v>9977.4</v>
      </c>
      <c r="C47">
        <v>1215</v>
      </c>
      <c r="D47">
        <v>365.65300000000002</v>
      </c>
      <c r="E47">
        <v>2.6551843160000002</v>
      </c>
      <c r="F47">
        <v>8.45824</v>
      </c>
      <c r="G47">
        <v>756.04499999999996</v>
      </c>
      <c r="H47">
        <v>382.42500000000001</v>
      </c>
      <c r="I47" s="7">
        <f t="shared" si="0"/>
        <v>12707.636424315999</v>
      </c>
      <c r="J47">
        <v>22.44397382</v>
      </c>
      <c r="K47" s="7">
        <f>J47*1000/100</f>
        <v>224.43973819999999</v>
      </c>
      <c r="L47" s="4"/>
      <c r="M47" s="9">
        <f t="shared" si="1"/>
        <v>56.619369307016946</v>
      </c>
      <c r="N47" s="3">
        <v>65.452668169999995</v>
      </c>
      <c r="O47" s="3"/>
      <c r="P47" s="3">
        <v>102.3</v>
      </c>
      <c r="Q47" s="3">
        <v>102</v>
      </c>
      <c r="R47" s="3">
        <v>101.6</v>
      </c>
      <c r="S47" s="3">
        <v>74.400000000000006</v>
      </c>
      <c r="T47" s="3">
        <v>102.7</v>
      </c>
      <c r="U47" s="3">
        <v>76</v>
      </c>
      <c r="V47" s="4"/>
      <c r="W47" s="3"/>
      <c r="X47" s="3"/>
      <c r="Y47" s="3"/>
    </row>
    <row r="48" spans="1:25" x14ac:dyDescent="0.35">
      <c r="A48">
        <v>2025</v>
      </c>
      <c r="B48">
        <v>9940.2374999999993</v>
      </c>
      <c r="C48">
        <v>1200.705882</v>
      </c>
      <c r="D48">
        <v>359.83049999999997</v>
      </c>
      <c r="E48">
        <v>2.3330387720000001</v>
      </c>
      <c r="F48">
        <v>8.1954133329999994</v>
      </c>
      <c r="G48">
        <v>720.42700000000002</v>
      </c>
      <c r="H48">
        <v>377.46660000000003</v>
      </c>
      <c r="I48" s="7">
        <f t="shared" si="0"/>
        <v>12609.195934104999</v>
      </c>
      <c r="J48">
        <v>22.829457229999999</v>
      </c>
      <c r="K48" s="7">
        <f>J48*1000/100</f>
        <v>228.2945723</v>
      </c>
      <c r="L48" s="4"/>
      <c r="M48" s="9">
        <f t="shared" si="1"/>
        <v>55.232131920926086</v>
      </c>
      <c r="N48" s="3">
        <v>64.062717710000001</v>
      </c>
      <c r="O48" s="3">
        <v>65</v>
      </c>
      <c r="P48" s="3">
        <v>102.3</v>
      </c>
      <c r="Q48" s="3">
        <v>102</v>
      </c>
      <c r="R48" s="3">
        <v>101.6</v>
      </c>
      <c r="S48" s="3">
        <v>74.400000000000006</v>
      </c>
      <c r="T48" s="3">
        <v>102.7</v>
      </c>
      <c r="U48" s="3">
        <v>76</v>
      </c>
      <c r="V48" s="4"/>
      <c r="W48" s="3"/>
      <c r="X48" s="3"/>
      <c r="Y48" s="3"/>
    </row>
    <row r="49" spans="1:25" x14ac:dyDescent="0.35">
      <c r="A49">
        <v>2026</v>
      </c>
      <c r="B49">
        <v>9901.5</v>
      </c>
      <c r="C49">
        <v>1191.176471</v>
      </c>
      <c r="D49">
        <v>354.00799999999998</v>
      </c>
      <c r="E49">
        <v>2.1767377739999998</v>
      </c>
      <c r="F49">
        <v>7.9325866669999998</v>
      </c>
      <c r="G49">
        <v>692.0926667</v>
      </c>
      <c r="H49">
        <v>362.29880000000003</v>
      </c>
      <c r="I49" s="7">
        <f t="shared" si="0"/>
        <v>12511.185262141002</v>
      </c>
      <c r="J49">
        <v>23.10697068</v>
      </c>
      <c r="K49" s="7">
        <f>J49*1000/100</f>
        <v>231.06970679999998</v>
      </c>
      <c r="L49" s="4"/>
      <c r="M49" s="9">
        <f t="shared" si="1"/>
        <v>54.144636419043586</v>
      </c>
      <c r="N49" s="3">
        <v>62.70228419</v>
      </c>
      <c r="O49" s="3"/>
      <c r="P49" s="3">
        <v>102.3</v>
      </c>
      <c r="Q49" s="3">
        <v>102</v>
      </c>
      <c r="R49" s="3">
        <v>101.6</v>
      </c>
      <c r="S49" s="3">
        <v>74.400000000000006</v>
      </c>
      <c r="T49" s="3">
        <v>102.7</v>
      </c>
      <c r="U49" s="3">
        <v>76</v>
      </c>
      <c r="V49" s="4"/>
      <c r="W49" s="3"/>
      <c r="X49" s="3"/>
      <c r="Y49" s="3"/>
    </row>
    <row r="50" spans="1:25" x14ac:dyDescent="0.35">
      <c r="A50">
        <v>2027</v>
      </c>
      <c r="B50">
        <v>10008.405559999999</v>
      </c>
      <c r="C50">
        <v>1181.6470589999999</v>
      </c>
      <c r="D50">
        <v>348.57366669999999</v>
      </c>
      <c r="E50">
        <v>2.0685647760000001</v>
      </c>
      <c r="F50">
        <v>7.6697600000000001</v>
      </c>
      <c r="G50">
        <v>680.27811110000005</v>
      </c>
      <c r="H50">
        <v>346.04293330000002</v>
      </c>
      <c r="I50" s="7">
        <f t="shared" si="0"/>
        <v>12574.685654875999</v>
      </c>
      <c r="J50">
        <v>23.324547859999999</v>
      </c>
      <c r="K50" s="7">
        <f>J50*1000/100</f>
        <v>233.24547859999998</v>
      </c>
      <c r="L50" s="4"/>
      <c r="M50" s="9">
        <f t="shared" si="1"/>
        <v>53.911808839136057</v>
      </c>
      <c r="N50" s="3">
        <v>61.370740789999999</v>
      </c>
      <c r="O50" s="3"/>
      <c r="P50" s="3">
        <v>102.3</v>
      </c>
      <c r="Q50" s="3">
        <v>102</v>
      </c>
      <c r="R50" s="3">
        <v>101.6</v>
      </c>
      <c r="S50" s="3">
        <v>74.400000000000006</v>
      </c>
      <c r="T50" s="3">
        <v>102.7</v>
      </c>
      <c r="U50" s="3">
        <v>76</v>
      </c>
      <c r="V50" s="4"/>
      <c r="W50" s="3"/>
      <c r="X50" s="3"/>
      <c r="Y50" s="3"/>
    </row>
    <row r="51" spans="1:25" x14ac:dyDescent="0.35">
      <c r="A51">
        <v>2028</v>
      </c>
      <c r="B51">
        <v>10113.405559999999</v>
      </c>
      <c r="C51">
        <v>1172.117647</v>
      </c>
      <c r="D51">
        <v>343.13933329999998</v>
      </c>
      <c r="E51">
        <v>1.9645133020000001</v>
      </c>
      <c r="F51">
        <v>7.3949866670000004</v>
      </c>
      <c r="G51">
        <v>668.33333330000005</v>
      </c>
      <c r="H51">
        <v>329.87066670000002</v>
      </c>
      <c r="I51" s="7">
        <f t="shared" si="0"/>
        <v>12636.226040268997</v>
      </c>
      <c r="J51">
        <v>23.503841300000001</v>
      </c>
      <c r="K51" s="7">
        <f>J51*1000/100</f>
        <v>235.03841299999999</v>
      </c>
      <c r="L51" s="4"/>
      <c r="M51" s="9">
        <f t="shared" si="1"/>
        <v>53.762386662596285</v>
      </c>
      <c r="N51" s="3">
        <v>60.067473990000003</v>
      </c>
      <c r="O51" s="3"/>
      <c r="P51" s="3">
        <v>102.3</v>
      </c>
      <c r="Q51" s="3">
        <v>102</v>
      </c>
      <c r="R51" s="3">
        <v>101.6</v>
      </c>
      <c r="S51" s="3">
        <v>74.400000000000006</v>
      </c>
      <c r="T51" s="3">
        <v>102.7</v>
      </c>
      <c r="U51" s="3">
        <v>76</v>
      </c>
      <c r="V51" s="4"/>
      <c r="W51" s="3"/>
      <c r="X51" s="3"/>
      <c r="Y51" s="3"/>
    </row>
    <row r="52" spans="1:25" x14ac:dyDescent="0.35">
      <c r="A52">
        <v>2029</v>
      </c>
      <c r="B52">
        <v>10216.5</v>
      </c>
      <c r="C52">
        <v>1162.5882349999999</v>
      </c>
      <c r="D52">
        <v>337.70499999999998</v>
      </c>
      <c r="E52">
        <v>1.8409544040000001</v>
      </c>
      <c r="F52">
        <v>7.1202133329999997</v>
      </c>
      <c r="G52">
        <v>670.19733329999997</v>
      </c>
      <c r="H52">
        <v>312.09500000000003</v>
      </c>
      <c r="I52" s="7">
        <f t="shared" si="0"/>
        <v>12708.046736037</v>
      </c>
      <c r="J52">
        <v>23.65650656</v>
      </c>
      <c r="K52" s="7">
        <f>J52*1000/100</f>
        <v>236.56506560000003</v>
      </c>
      <c r="L52" s="4"/>
      <c r="M52" s="9">
        <f t="shared" si="1"/>
        <v>53.719033720408291</v>
      </c>
      <c r="N52" s="3">
        <v>58.791883319999997</v>
      </c>
      <c r="O52" s="3"/>
      <c r="P52" s="3">
        <v>102.3</v>
      </c>
      <c r="Q52" s="3">
        <v>102</v>
      </c>
      <c r="R52" s="3">
        <v>101.6</v>
      </c>
      <c r="S52" s="3">
        <v>74.400000000000006</v>
      </c>
      <c r="T52" s="3">
        <v>102.7</v>
      </c>
      <c r="U52" s="3">
        <v>76</v>
      </c>
      <c r="V52" s="4"/>
      <c r="W52" s="3"/>
      <c r="X52" s="3"/>
      <c r="Y52" s="3"/>
    </row>
    <row r="53" spans="1:25" x14ac:dyDescent="0.35">
      <c r="A53">
        <v>2030</v>
      </c>
      <c r="B53">
        <v>10170.911109999999</v>
      </c>
      <c r="C53">
        <v>1153.058824</v>
      </c>
      <c r="D53">
        <v>335.37599999999998</v>
      </c>
      <c r="E53">
        <v>1.7075395689999999</v>
      </c>
      <c r="F53">
        <v>6.84544</v>
      </c>
      <c r="G53">
        <v>671.74133329999995</v>
      </c>
      <c r="H53">
        <v>294.8944444</v>
      </c>
      <c r="I53" s="7">
        <f t="shared" si="0"/>
        <v>12634.534691269</v>
      </c>
      <c r="J53">
        <v>23.789552520000001</v>
      </c>
      <c r="K53" s="7">
        <f>J53*1000/100</f>
        <v>237.89552520000001</v>
      </c>
      <c r="L53" s="4"/>
      <c r="M53" s="9">
        <f t="shared" si="1"/>
        <v>53.109593720382428</v>
      </c>
      <c r="N53" s="3">
        <v>57.54338104</v>
      </c>
      <c r="O53" s="3">
        <v>60</v>
      </c>
      <c r="P53" s="3">
        <v>102.3</v>
      </c>
      <c r="Q53" s="3">
        <v>102</v>
      </c>
      <c r="R53" s="3">
        <v>101.6</v>
      </c>
      <c r="S53" s="3">
        <v>74.400000000000006</v>
      </c>
      <c r="T53" s="3">
        <v>102.7</v>
      </c>
      <c r="U53" s="3">
        <v>76</v>
      </c>
      <c r="V53" s="4"/>
      <c r="W53" s="3"/>
      <c r="X53" s="3"/>
      <c r="Y53" s="3"/>
    </row>
    <row r="54" spans="1:25" x14ac:dyDescent="0.35">
      <c r="A54">
        <v>2031</v>
      </c>
      <c r="B54">
        <v>10125.011109999999</v>
      </c>
      <c r="C54">
        <v>1143.5294120000001</v>
      </c>
      <c r="D54">
        <v>333.04700000000003</v>
      </c>
      <c r="E54">
        <v>1.5781251409999999</v>
      </c>
      <c r="F54">
        <v>6.84544</v>
      </c>
      <c r="G54">
        <v>673.28533330000005</v>
      </c>
      <c r="H54">
        <v>277.73166670000001</v>
      </c>
      <c r="I54" s="7">
        <f t="shared" si="0"/>
        <v>12561.028087141</v>
      </c>
      <c r="J54">
        <v>23.907528330000002</v>
      </c>
      <c r="K54" s="7">
        <f>J54*1000/100</f>
        <v>239.07528330000002</v>
      </c>
      <c r="L54" s="4"/>
      <c r="M54" s="9">
        <f t="shared" si="1"/>
        <v>52.540053132046204</v>
      </c>
      <c r="N54" s="3">
        <v>56.321391920000003</v>
      </c>
      <c r="O54" s="3"/>
      <c r="P54" s="3"/>
      <c r="Q54" s="3">
        <v>102</v>
      </c>
      <c r="R54" s="3">
        <v>101.6</v>
      </c>
      <c r="S54" s="3"/>
      <c r="T54" s="3">
        <v>102.7</v>
      </c>
      <c r="U54" s="3">
        <v>76</v>
      </c>
      <c r="V54" s="4"/>
      <c r="W54" s="3"/>
      <c r="X54" s="3"/>
      <c r="Y54" s="3"/>
    </row>
    <row r="55" spans="1:25" x14ac:dyDescent="0.35">
      <c r="A55">
        <v>2032</v>
      </c>
      <c r="B55">
        <v>10125.011109999999</v>
      </c>
      <c r="C55">
        <v>1143.5294120000001</v>
      </c>
      <c r="D55">
        <v>333.04700000000003</v>
      </c>
      <c r="E55">
        <v>1.5781251409999999</v>
      </c>
      <c r="F55">
        <v>6.84544</v>
      </c>
      <c r="G55">
        <v>673.28533330000005</v>
      </c>
      <c r="H55">
        <v>277.73166670000001</v>
      </c>
      <c r="I55" s="7">
        <f t="shared" si="0"/>
        <v>12561.028087141</v>
      </c>
      <c r="J55">
        <v>24.013556950000002</v>
      </c>
      <c r="K55" s="7">
        <f>J55*1000/100</f>
        <v>240.13556950000003</v>
      </c>
      <c r="L55" s="4"/>
      <c r="M55" s="9">
        <f t="shared" si="1"/>
        <v>52.30806961790389</v>
      </c>
      <c r="N55" s="3">
        <v>55.125352909999997</v>
      </c>
      <c r="O55" s="3"/>
      <c r="P55" s="3"/>
      <c r="Q55" s="3">
        <v>102</v>
      </c>
      <c r="R55" s="3">
        <v>101.6</v>
      </c>
      <c r="S55" s="3"/>
      <c r="T55" s="3">
        <v>102.7</v>
      </c>
      <c r="U55" s="3">
        <v>76</v>
      </c>
      <c r="V55" s="4"/>
      <c r="W55" s="3"/>
      <c r="X55" s="3"/>
      <c r="Y55" s="3"/>
    </row>
    <row r="56" spans="1:25" x14ac:dyDescent="0.35">
      <c r="A56">
        <v>2033</v>
      </c>
      <c r="B56">
        <v>10125.011109999999</v>
      </c>
      <c r="C56">
        <v>1143.5294120000001</v>
      </c>
      <c r="D56">
        <v>333.04700000000003</v>
      </c>
      <c r="E56">
        <v>1.5781251409999999</v>
      </c>
      <c r="F56">
        <v>6.84544</v>
      </c>
      <c r="G56">
        <v>673.28533330000005</v>
      </c>
      <c r="H56">
        <v>277.73166670000001</v>
      </c>
      <c r="I56" s="7">
        <f t="shared" si="0"/>
        <v>12561.028087141</v>
      </c>
      <c r="J56">
        <v>24.109876530000001</v>
      </c>
      <c r="K56" s="7">
        <f>J56*1000/100</f>
        <v>241.09876530000003</v>
      </c>
      <c r="L56" s="4"/>
      <c r="M56" s="9">
        <f t="shared" si="1"/>
        <v>52.09909752756829</v>
      </c>
      <c r="N56" s="3">
        <v>53.95471294</v>
      </c>
      <c r="O56" s="3"/>
      <c r="P56" s="3"/>
      <c r="Q56" s="3">
        <v>102</v>
      </c>
      <c r="R56" s="3">
        <v>101.6</v>
      </c>
      <c r="S56" s="3"/>
      <c r="T56" s="3">
        <v>102.7</v>
      </c>
      <c r="U56" s="3">
        <v>76</v>
      </c>
      <c r="V56" s="4"/>
      <c r="W56" s="3"/>
      <c r="X56" s="3"/>
      <c r="Y56" s="3"/>
    </row>
    <row r="57" spans="1:25" x14ac:dyDescent="0.35">
      <c r="A57">
        <v>2034</v>
      </c>
      <c r="B57">
        <v>10125.011109999999</v>
      </c>
      <c r="C57">
        <v>1143.5294120000001</v>
      </c>
      <c r="D57">
        <v>333.04700000000003</v>
      </c>
      <c r="E57">
        <v>1.5781251409999999</v>
      </c>
      <c r="F57">
        <v>6.84544</v>
      </c>
      <c r="G57">
        <v>673.28533330000005</v>
      </c>
      <c r="H57">
        <v>277.73166670000001</v>
      </c>
      <c r="I57" s="7">
        <f t="shared" si="0"/>
        <v>12561.028087141</v>
      </c>
      <c r="J57">
        <v>24.198146739999999</v>
      </c>
      <c r="K57" s="7">
        <f>J57*1000/100</f>
        <v>241.98146740000001</v>
      </c>
      <c r="L57" s="4"/>
      <c r="M57" s="9">
        <f t="shared" si="1"/>
        <v>51.909049986780097</v>
      </c>
      <c r="N57" s="3">
        <v>52.808932630000001</v>
      </c>
      <c r="O57" s="3"/>
      <c r="P57" s="3"/>
      <c r="Q57" s="3">
        <v>102</v>
      </c>
      <c r="R57" s="3">
        <v>101.6</v>
      </c>
      <c r="S57" s="3"/>
      <c r="T57" s="3">
        <v>102.7</v>
      </c>
      <c r="U57" s="3">
        <v>76</v>
      </c>
      <c r="V57" s="4"/>
      <c r="W57" s="3"/>
      <c r="X57" s="3"/>
      <c r="Y57" s="3"/>
    </row>
    <row r="58" spans="1:25" x14ac:dyDescent="0.35">
      <c r="A58">
        <v>2035</v>
      </c>
      <c r="B58">
        <v>10125.011109999999</v>
      </c>
      <c r="C58">
        <v>1143.5294120000001</v>
      </c>
      <c r="D58">
        <v>333.04700000000003</v>
      </c>
      <c r="E58">
        <v>1.5781251409999999</v>
      </c>
      <c r="F58">
        <v>6.84544</v>
      </c>
      <c r="G58">
        <v>673.28533330000005</v>
      </c>
      <c r="H58">
        <v>277.73166670000001</v>
      </c>
      <c r="I58" s="7">
        <f t="shared" si="0"/>
        <v>12561.028087141</v>
      </c>
      <c r="J58">
        <v>24.279632809999999</v>
      </c>
      <c r="K58" s="7">
        <f>J58*1000/100</f>
        <v>242.79632809999998</v>
      </c>
      <c r="L58" s="4"/>
      <c r="M58" s="9">
        <f t="shared" si="1"/>
        <v>51.734835470689312</v>
      </c>
      <c r="N58" s="3">
        <v>51.687484079999997</v>
      </c>
      <c r="O58" s="3"/>
      <c r="P58" s="3"/>
      <c r="Q58" s="3">
        <v>102</v>
      </c>
      <c r="R58" s="3">
        <v>101.6</v>
      </c>
      <c r="S58" s="3"/>
      <c r="T58" s="3">
        <v>102.7</v>
      </c>
      <c r="U58" s="3">
        <v>76</v>
      </c>
      <c r="V58" s="4"/>
      <c r="W58" s="3"/>
      <c r="X58" s="3"/>
      <c r="Y58" s="3"/>
    </row>
    <row r="59" spans="1:25" x14ac:dyDescent="0.35">
      <c r="A59">
        <v>2036</v>
      </c>
      <c r="B59">
        <v>10125.011109999999</v>
      </c>
      <c r="C59">
        <v>1143.5294120000001</v>
      </c>
      <c r="D59">
        <v>333.04700000000003</v>
      </c>
      <c r="E59">
        <v>1.5781251409999999</v>
      </c>
      <c r="F59">
        <v>6.84544</v>
      </c>
      <c r="G59">
        <v>673.28533330000005</v>
      </c>
      <c r="H59">
        <v>277.73166670000001</v>
      </c>
      <c r="I59" s="7">
        <f t="shared" si="0"/>
        <v>12561.028087141</v>
      </c>
      <c r="J59">
        <v>24.355321740000001</v>
      </c>
      <c r="K59" s="7">
        <f>J59*1000/100</f>
        <v>243.55321739999999</v>
      </c>
      <c r="L59" s="4"/>
      <c r="M59" s="9">
        <f t="shared" si="1"/>
        <v>51.574059342075437</v>
      </c>
      <c r="N59" s="3">
        <v>50.589850570000003</v>
      </c>
      <c r="O59" s="3"/>
      <c r="P59" s="3"/>
      <c r="Q59" s="3">
        <v>102</v>
      </c>
      <c r="R59" s="3">
        <v>101.6</v>
      </c>
      <c r="S59" s="3"/>
      <c r="T59" s="3">
        <v>102.7</v>
      </c>
      <c r="U59" s="3">
        <v>76</v>
      </c>
      <c r="V59" s="4"/>
      <c r="W59" s="3"/>
      <c r="X59" s="3"/>
      <c r="Y59" s="3"/>
    </row>
    <row r="60" spans="1:25" x14ac:dyDescent="0.35">
      <c r="A60">
        <v>2037</v>
      </c>
      <c r="B60">
        <v>10125.011109999999</v>
      </c>
      <c r="C60">
        <v>1143.5294120000001</v>
      </c>
      <c r="D60">
        <v>333.04700000000003</v>
      </c>
      <c r="E60">
        <v>1.5781251409999999</v>
      </c>
      <c r="F60">
        <v>6.84544</v>
      </c>
      <c r="G60">
        <v>673.28533330000005</v>
      </c>
      <c r="H60">
        <v>277.73166670000001</v>
      </c>
      <c r="I60" s="7">
        <f t="shared" si="0"/>
        <v>12561.028087141</v>
      </c>
      <c r="J60">
        <v>24.42599852</v>
      </c>
      <c r="K60" s="7">
        <f>J60*1000/100</f>
        <v>244.25998520000002</v>
      </c>
      <c r="L60" s="4"/>
      <c r="M60" s="9">
        <f t="shared" si="1"/>
        <v>51.424829477722405</v>
      </c>
      <c r="N60" s="3">
        <v>49.515526360000003</v>
      </c>
      <c r="O60" s="3"/>
      <c r="P60" s="3"/>
      <c r="Q60" s="3">
        <v>102</v>
      </c>
      <c r="R60" s="3">
        <v>101.6</v>
      </c>
      <c r="S60" s="3"/>
      <c r="T60" s="3">
        <v>102.7</v>
      </c>
      <c r="U60" s="3">
        <v>76</v>
      </c>
      <c r="V60" s="4"/>
      <c r="W60" s="3"/>
      <c r="X60" s="3"/>
      <c r="Y60" s="3"/>
    </row>
    <row r="61" spans="1:25" x14ac:dyDescent="0.35">
      <c r="A61">
        <v>2038</v>
      </c>
      <c r="B61">
        <v>10125.011109999999</v>
      </c>
      <c r="C61">
        <v>1143.5294120000001</v>
      </c>
      <c r="D61">
        <v>333.04700000000003</v>
      </c>
      <c r="E61">
        <v>1.5781251409999999</v>
      </c>
      <c r="F61">
        <v>6.84544</v>
      </c>
      <c r="G61">
        <v>673.28533330000005</v>
      </c>
      <c r="H61">
        <v>277.73166670000001</v>
      </c>
      <c r="I61" s="7">
        <f t="shared" si="0"/>
        <v>12561.028087141</v>
      </c>
      <c r="J61">
        <v>24.49229789</v>
      </c>
      <c r="K61" s="7">
        <f>J61*1000/100</f>
        <v>244.92297889999998</v>
      </c>
      <c r="L61" s="4"/>
      <c r="M61" s="9">
        <f t="shared" si="1"/>
        <v>51.285625152671216</v>
      </c>
      <c r="N61" s="3">
        <v>48.464016460000003</v>
      </c>
      <c r="O61" s="3"/>
      <c r="P61" s="3"/>
      <c r="Q61" s="3">
        <v>102</v>
      </c>
      <c r="R61" s="3">
        <v>101.6</v>
      </c>
      <c r="S61" s="3"/>
      <c r="T61" s="3">
        <v>102.7</v>
      </c>
      <c r="U61" s="3">
        <v>76</v>
      </c>
      <c r="V61" s="4"/>
      <c r="W61" s="3"/>
      <c r="X61" s="3"/>
      <c r="Y61" s="3"/>
    </row>
    <row r="62" spans="1:25" x14ac:dyDescent="0.35">
      <c r="A62">
        <v>2039</v>
      </c>
      <c r="B62">
        <v>10125.011109999999</v>
      </c>
      <c r="C62">
        <v>1143.5294120000001</v>
      </c>
      <c r="D62">
        <v>333.04700000000003</v>
      </c>
      <c r="E62">
        <v>1.5781251409999999</v>
      </c>
      <c r="F62">
        <v>6.84544</v>
      </c>
      <c r="G62">
        <v>673.28533330000005</v>
      </c>
      <c r="H62">
        <v>277.73166670000001</v>
      </c>
      <c r="I62" s="7">
        <f t="shared" si="0"/>
        <v>12561.028087141</v>
      </c>
      <c r="J62">
        <v>24.554740469999999</v>
      </c>
      <c r="K62" s="7">
        <f>J62*1000/100</f>
        <v>245.54740469999996</v>
      </c>
      <c r="L62" s="4"/>
      <c r="M62" s="9">
        <f t="shared" si="1"/>
        <v>51.155206069017765</v>
      </c>
      <c r="N62" s="3">
        <v>47.43483638</v>
      </c>
      <c r="O62" s="3"/>
      <c r="P62" s="3"/>
      <c r="Q62" s="3">
        <v>102</v>
      </c>
      <c r="R62" s="3">
        <v>101.6</v>
      </c>
      <c r="S62" s="3"/>
      <c r="T62" s="3">
        <v>102.7</v>
      </c>
      <c r="U62" s="3">
        <v>76</v>
      </c>
      <c r="V62" s="4"/>
      <c r="W62" s="3"/>
      <c r="X62" s="3"/>
      <c r="Y62" s="3"/>
    </row>
    <row r="63" spans="1:25" x14ac:dyDescent="0.35">
      <c r="A63">
        <v>2040</v>
      </c>
      <c r="B63">
        <v>10125.011109999999</v>
      </c>
      <c r="C63">
        <v>1143.5294120000001</v>
      </c>
      <c r="D63">
        <v>333.04700000000003</v>
      </c>
      <c r="E63">
        <v>1.5781251409999999</v>
      </c>
      <c r="F63">
        <v>6.84544</v>
      </c>
      <c r="G63">
        <v>673.28533330000005</v>
      </c>
      <c r="H63">
        <v>277.73166670000001</v>
      </c>
      <c r="I63" s="7">
        <f t="shared" si="0"/>
        <v>12561.028087141</v>
      </c>
      <c r="J63">
        <v>24.613758709999999</v>
      </c>
      <c r="K63" s="7">
        <f>J63*1000/100</f>
        <v>246.13758709999999</v>
      </c>
      <c r="L63" s="4"/>
      <c r="M63" s="9">
        <f t="shared" si="1"/>
        <v>51.032547426564904</v>
      </c>
      <c r="N63" s="3">
        <v>46.427511940000002</v>
      </c>
      <c r="O63" s="3"/>
      <c r="P63" s="3"/>
      <c r="Q63" s="3">
        <v>102</v>
      </c>
      <c r="R63" s="3">
        <v>101.6</v>
      </c>
      <c r="S63" s="3"/>
      <c r="T63" s="3">
        <v>102.7</v>
      </c>
      <c r="U63" s="3">
        <v>76</v>
      </c>
      <c r="V63" s="4"/>
      <c r="W63" s="3"/>
      <c r="X63" s="3"/>
      <c r="Y63" s="3"/>
    </row>
    <row r="64" spans="1:25" x14ac:dyDescent="0.35">
      <c r="A64">
        <v>2041</v>
      </c>
      <c r="B64">
        <v>10125.011109999999</v>
      </c>
      <c r="C64">
        <v>1143.5294120000001</v>
      </c>
      <c r="D64">
        <v>333.04700000000003</v>
      </c>
      <c r="E64">
        <v>1.5781251409999999</v>
      </c>
      <c r="F64">
        <v>6.84544</v>
      </c>
      <c r="G64">
        <v>673.28533330000005</v>
      </c>
      <c r="H64">
        <v>277.73166670000001</v>
      </c>
      <c r="I64" s="7">
        <f t="shared" si="0"/>
        <v>12561.028087141</v>
      </c>
      <c r="J64">
        <v>24.669715709999998</v>
      </c>
      <c r="K64" s="7">
        <f>J64*1000/100</f>
        <v>246.69715709999997</v>
      </c>
      <c r="L64" s="4"/>
      <c r="M64" s="9">
        <f t="shared" si="1"/>
        <v>50.91679302185603</v>
      </c>
      <c r="N64" s="3">
        <v>45.441578999999997</v>
      </c>
      <c r="O64" s="3"/>
      <c r="P64" s="3"/>
      <c r="Q64" s="3">
        <v>102</v>
      </c>
      <c r="R64" s="3">
        <v>101.6</v>
      </c>
      <c r="S64" s="3"/>
      <c r="T64" s="3">
        <v>102.7</v>
      </c>
      <c r="U64" s="3">
        <v>76</v>
      </c>
      <c r="V64" s="4"/>
      <c r="W64" s="3"/>
      <c r="X64" s="3"/>
      <c r="Y64" s="3"/>
    </row>
    <row r="65" spans="1:25" x14ac:dyDescent="0.35">
      <c r="A65">
        <v>2042</v>
      </c>
      <c r="B65">
        <v>10125.011109999999</v>
      </c>
      <c r="C65">
        <v>1143.5294120000001</v>
      </c>
      <c r="D65">
        <v>333.04700000000003</v>
      </c>
      <c r="E65">
        <v>1.5781251409999999</v>
      </c>
      <c r="F65">
        <v>6.84544</v>
      </c>
      <c r="G65">
        <v>673.28533330000005</v>
      </c>
      <c r="H65">
        <v>277.73166670000001</v>
      </c>
      <c r="I65" s="7">
        <f t="shared" si="0"/>
        <v>12561.028087141</v>
      </c>
      <c r="J65">
        <v>24.72291942</v>
      </c>
      <c r="K65" s="7">
        <f>J65*1000/100</f>
        <v>247.22919420000002</v>
      </c>
      <c r="L65" s="4"/>
      <c r="M65" s="9">
        <f t="shared" si="1"/>
        <v>50.807220109205851</v>
      </c>
      <c r="N65" s="3">
        <v>44.476583300000001</v>
      </c>
      <c r="O65" s="3"/>
      <c r="P65" s="3"/>
      <c r="Q65" s="3">
        <v>102</v>
      </c>
      <c r="R65" s="3">
        <v>101.6</v>
      </c>
      <c r="S65" s="3"/>
      <c r="T65" s="3">
        <v>102.7</v>
      </c>
      <c r="U65" s="3">
        <v>76</v>
      </c>
      <c r="V65" s="4"/>
      <c r="W65" s="3"/>
      <c r="X65" s="3"/>
      <c r="Y65" s="3"/>
    </row>
    <row r="66" spans="1:25" x14ac:dyDescent="0.35">
      <c r="A66">
        <v>2043</v>
      </c>
      <c r="B66">
        <v>10125.011109999999</v>
      </c>
      <c r="C66">
        <v>1143.5294120000001</v>
      </c>
      <c r="D66">
        <v>333.04700000000003</v>
      </c>
      <c r="E66">
        <v>1.5781251409999999</v>
      </c>
      <c r="F66">
        <v>6.84544</v>
      </c>
      <c r="G66">
        <v>673.28533330000005</v>
      </c>
      <c r="H66">
        <v>277.73166670000001</v>
      </c>
      <c r="I66" s="7">
        <f t="shared" si="0"/>
        <v>12561.028087141</v>
      </c>
      <c r="J66">
        <v>24.77363325</v>
      </c>
      <c r="K66" s="7">
        <f>J66*1000/100</f>
        <v>247.7363325</v>
      </c>
      <c r="L66" s="4"/>
      <c r="M66" s="9">
        <f t="shared" si="1"/>
        <v>50.703213212139559</v>
      </c>
      <c r="N66" s="3">
        <v>43.532080209999997</v>
      </c>
      <c r="O66" s="3"/>
      <c r="P66" s="3"/>
      <c r="Q66" s="3">
        <v>102</v>
      </c>
      <c r="R66" s="3">
        <v>101.6</v>
      </c>
      <c r="S66" s="3"/>
      <c r="T66" s="3">
        <v>102.7</v>
      </c>
      <c r="U66" s="3">
        <v>76</v>
      </c>
      <c r="V66" s="4"/>
      <c r="W66" s="3"/>
      <c r="X66" s="3"/>
      <c r="Y66" s="3"/>
    </row>
    <row r="67" spans="1:25" x14ac:dyDescent="0.35">
      <c r="A67">
        <v>2044</v>
      </c>
      <c r="B67">
        <v>10125.011109999999</v>
      </c>
      <c r="C67">
        <v>1143.5294120000001</v>
      </c>
      <c r="D67">
        <v>333.04700000000003</v>
      </c>
      <c r="E67">
        <v>1.5781251409999999</v>
      </c>
      <c r="F67">
        <v>6.84544</v>
      </c>
      <c r="G67">
        <v>673.28533330000005</v>
      </c>
      <c r="H67">
        <v>277.73166670000001</v>
      </c>
      <c r="I67" s="7">
        <f t="shared" si="0"/>
        <v>12561.028087141</v>
      </c>
      <c r="J67">
        <v>24.8220843</v>
      </c>
      <c r="K67" s="7">
        <f>J67*1000/100</f>
        <v>248.22084299999997</v>
      </c>
      <c r="L67" s="4"/>
      <c r="M67" s="9">
        <f t="shared" si="1"/>
        <v>50.604243927819553</v>
      </c>
      <c r="N67" s="3">
        <v>42.60763455</v>
      </c>
      <c r="O67" s="3"/>
      <c r="P67" s="3"/>
      <c r="Q67" s="3">
        <v>102</v>
      </c>
      <c r="R67" s="3">
        <v>101.6</v>
      </c>
      <c r="S67" s="3"/>
      <c r="T67" s="3">
        <v>102.7</v>
      </c>
      <c r="U67" s="3">
        <v>76</v>
      </c>
      <c r="V67" s="4"/>
      <c r="W67" s="3"/>
      <c r="X67" s="3"/>
      <c r="Y67" s="3"/>
    </row>
    <row r="68" spans="1:25" x14ac:dyDescent="0.35">
      <c r="A68">
        <v>2045</v>
      </c>
      <c r="B68">
        <v>10125.011109999999</v>
      </c>
      <c r="C68">
        <v>1143.5294120000001</v>
      </c>
      <c r="D68">
        <v>333.04700000000003</v>
      </c>
      <c r="E68">
        <v>1.5781251409999999</v>
      </c>
      <c r="F68">
        <v>6.84544</v>
      </c>
      <c r="G68">
        <v>673.28533330000005</v>
      </c>
      <c r="H68">
        <v>277.73166670000001</v>
      </c>
      <c r="I68" s="7">
        <f t="shared" si="0"/>
        <v>12561.028087141</v>
      </c>
      <c r="J68">
        <v>24.868469770000001</v>
      </c>
      <c r="K68" s="7">
        <f>J68*1000/100</f>
        <v>248.68469769999999</v>
      </c>
      <c r="L68" s="4"/>
      <c r="M68" s="9">
        <f t="shared" si="1"/>
        <v>50.509855263768408</v>
      </c>
      <c r="N68" s="3">
        <v>41.702820389999999</v>
      </c>
      <c r="O68" s="3"/>
      <c r="P68" s="3"/>
      <c r="Q68" s="3">
        <v>102</v>
      </c>
      <c r="R68" s="3">
        <v>101.6</v>
      </c>
      <c r="S68" s="3"/>
      <c r="T68" s="3">
        <v>102.7</v>
      </c>
      <c r="U68" s="3">
        <v>76</v>
      </c>
      <c r="V68" s="4"/>
      <c r="W68" s="3"/>
      <c r="X68" s="3"/>
      <c r="Y68" s="3"/>
    </row>
    <row r="69" spans="1:25" x14ac:dyDescent="0.35">
      <c r="A69">
        <v>2046</v>
      </c>
      <c r="B69">
        <v>10125.011109999999</v>
      </c>
      <c r="C69">
        <v>1143.5294120000001</v>
      </c>
      <c r="D69">
        <v>333.04700000000003</v>
      </c>
      <c r="E69">
        <v>1.5781251409999999</v>
      </c>
      <c r="F69">
        <v>6.84544</v>
      </c>
      <c r="G69">
        <v>673.28533330000005</v>
      </c>
      <c r="H69">
        <v>277.73166670000001</v>
      </c>
      <c r="I69" s="7">
        <f t="shared" si="0"/>
        <v>12561.028087141</v>
      </c>
      <c r="J69">
        <v>24.912962010000001</v>
      </c>
      <c r="K69" s="7">
        <f>J69*1000/100</f>
        <v>249.12962010000004</v>
      </c>
      <c r="L69" s="4"/>
      <c r="M69" s="9">
        <f t="shared" si="1"/>
        <v>50.419649345987175</v>
      </c>
      <c r="N69" s="3">
        <v>40.817220829999997</v>
      </c>
      <c r="O69" s="3"/>
      <c r="P69" s="3"/>
      <c r="Q69" s="3">
        <v>102</v>
      </c>
      <c r="R69" s="3">
        <v>101.6</v>
      </c>
      <c r="S69" s="3"/>
      <c r="T69" s="3">
        <v>102.7</v>
      </c>
      <c r="U69" s="3">
        <v>76</v>
      </c>
      <c r="V69" s="4"/>
      <c r="W69" s="3"/>
      <c r="X69" s="3"/>
      <c r="Y69" s="3"/>
    </row>
    <row r="70" spans="1:25" x14ac:dyDescent="0.35">
      <c r="A70">
        <v>2047</v>
      </c>
      <c r="B70">
        <v>10125.011109999999</v>
      </c>
      <c r="C70">
        <v>1143.5294120000001</v>
      </c>
      <c r="D70">
        <v>333.04700000000003</v>
      </c>
      <c r="E70">
        <v>1.5781251409999999</v>
      </c>
      <c r="F70">
        <v>6.84544</v>
      </c>
      <c r="G70">
        <v>673.28533330000005</v>
      </c>
      <c r="H70">
        <v>277.73166670000001</v>
      </c>
      <c r="I70" s="7">
        <f t="shared" si="0"/>
        <v>12561.028087141</v>
      </c>
      <c r="J70">
        <v>24.955712510000001</v>
      </c>
      <c r="K70" s="7">
        <f>J70*1000/100</f>
        <v>249.55712510000001</v>
      </c>
      <c r="L70" s="4"/>
      <c r="M70" s="9">
        <f t="shared" si="1"/>
        <v>50.333277729929257</v>
      </c>
      <c r="N70" s="3">
        <v>39.950427830000002</v>
      </c>
      <c r="O70" s="3"/>
      <c r="P70" s="3"/>
      <c r="Q70" s="3">
        <v>102</v>
      </c>
      <c r="R70" s="3">
        <v>101.6</v>
      </c>
      <c r="S70" s="3"/>
      <c r="T70" s="3">
        <v>102.7</v>
      </c>
      <c r="U70" s="3">
        <v>76</v>
      </c>
      <c r="V70" s="4"/>
      <c r="W70" s="3"/>
      <c r="X70" s="3"/>
      <c r="Y70" s="3"/>
    </row>
    <row r="71" spans="1:25" x14ac:dyDescent="0.35">
      <c r="A71">
        <v>2048</v>
      </c>
      <c r="B71">
        <v>10125.011109999999</v>
      </c>
      <c r="C71">
        <v>1143.5294120000001</v>
      </c>
      <c r="D71">
        <v>333.04700000000003</v>
      </c>
      <c r="E71">
        <v>1.5781251409999999</v>
      </c>
      <c r="F71">
        <v>6.84544</v>
      </c>
      <c r="G71">
        <v>673.28533330000005</v>
      </c>
      <c r="H71">
        <v>277.73166670000001</v>
      </c>
      <c r="I71" s="7">
        <f t="shared" si="0"/>
        <v>12561.028087141</v>
      </c>
      <c r="J71">
        <v>24.996855190000002</v>
      </c>
      <c r="K71" s="7">
        <f>J71*1000/100</f>
        <v>249.96855190000002</v>
      </c>
      <c r="L71" s="4"/>
      <c r="M71" s="9">
        <f t="shared" si="1"/>
        <v>50.250433471191378</v>
      </c>
      <c r="N71" s="3">
        <v>39.102042009999998</v>
      </c>
      <c r="O71" s="3"/>
      <c r="P71" s="3"/>
      <c r="Q71" s="3">
        <v>102</v>
      </c>
      <c r="R71" s="3">
        <v>101.6</v>
      </c>
      <c r="S71" s="3"/>
      <c r="T71" s="3">
        <v>102.7</v>
      </c>
      <c r="U71" s="3">
        <v>76</v>
      </c>
      <c r="V71" s="4"/>
      <c r="W71" s="3"/>
      <c r="X71" s="3"/>
      <c r="Y71" s="3"/>
    </row>
    <row r="72" spans="1:25" x14ac:dyDescent="0.35">
      <c r="A72">
        <v>2049</v>
      </c>
      <c r="B72">
        <v>10125.011109999999</v>
      </c>
      <c r="C72">
        <v>1143.5294120000001</v>
      </c>
      <c r="D72">
        <v>333.04700000000003</v>
      </c>
      <c r="E72">
        <v>1.5781251409999999</v>
      </c>
      <c r="F72">
        <v>6.84544</v>
      </c>
      <c r="G72">
        <v>673.28533330000005</v>
      </c>
      <c r="H72">
        <v>277.73166670000001</v>
      </c>
      <c r="I72" s="7">
        <f t="shared" si="0"/>
        <v>12561.028087141</v>
      </c>
      <c r="J72">
        <v>25.036508959999999</v>
      </c>
      <c r="K72" s="7">
        <f>J72*1000/100</f>
        <v>250.3650896</v>
      </c>
      <c r="L72" s="4"/>
      <c r="M72" s="9">
        <f t="shared" si="1"/>
        <v>50.170844933729924</v>
      </c>
      <c r="N72" s="3">
        <v>38.271672479999999</v>
      </c>
      <c r="O72" s="3"/>
      <c r="P72" s="3"/>
      <c r="Q72" s="3">
        <v>102</v>
      </c>
      <c r="R72" s="3">
        <v>101.6</v>
      </c>
      <c r="S72" s="3"/>
      <c r="T72" s="3">
        <v>102.7</v>
      </c>
      <c r="U72" s="3">
        <v>76</v>
      </c>
      <c r="V72" s="4"/>
      <c r="W72" s="3"/>
      <c r="X72" s="3"/>
      <c r="Y72" s="3"/>
    </row>
    <row r="73" spans="1:25" x14ac:dyDescent="0.35">
      <c r="A73">
        <v>2050</v>
      </c>
      <c r="B73">
        <v>10125.011109999999</v>
      </c>
      <c r="C73">
        <v>1143.5294120000001</v>
      </c>
      <c r="D73">
        <v>333.04700000000003</v>
      </c>
      <c r="E73">
        <v>1.5781251409999999</v>
      </c>
      <c r="F73">
        <v>6.84544</v>
      </c>
      <c r="G73">
        <v>673.28533330000005</v>
      </c>
      <c r="H73">
        <v>277.73166670000001</v>
      </c>
      <c r="I73" s="7">
        <f t="shared" si="0"/>
        <v>12561.028087141</v>
      </c>
      <c r="J73">
        <v>25.074779979999999</v>
      </c>
      <c r="K73" s="7">
        <f>J73*1000/100</f>
        <v>250.7477998</v>
      </c>
      <c r="L73" s="4"/>
      <c r="M73" s="9">
        <f t="shared" si="1"/>
        <v>50.094270406998</v>
      </c>
      <c r="N73" s="3">
        <v>37.458936649999998</v>
      </c>
      <c r="O73" s="3">
        <v>42</v>
      </c>
      <c r="P73" s="3"/>
      <c r="Q73" s="3">
        <v>102</v>
      </c>
      <c r="R73" s="3">
        <v>101.6</v>
      </c>
      <c r="S73" s="3"/>
      <c r="T73" s="3">
        <v>102.7</v>
      </c>
      <c r="U73" s="3">
        <v>76</v>
      </c>
      <c r="V73" s="4"/>
      <c r="W73" s="3"/>
      <c r="X73" s="3"/>
      <c r="Y73" s="3"/>
    </row>
  </sheetData>
  <mergeCells count="4">
    <mergeCell ref="B1:F1"/>
    <mergeCell ref="W1:Y1"/>
    <mergeCell ref="G1:K1"/>
    <mergeCell ref="M1:U1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Mass-PowerFactorLitCompare-2025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Lemire</dc:creator>
  <cp:lastModifiedBy>Mirletz, Heather</cp:lastModifiedBy>
  <dcterms:created xsi:type="dcterms:W3CDTF">2020-12-02T18:29:59Z</dcterms:created>
  <dcterms:modified xsi:type="dcterms:W3CDTF">2025-01-14T18:42:08Z</dcterms:modified>
</cp:coreProperties>
</file>