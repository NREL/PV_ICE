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hmirletz\Documents\GitHub\PV_ICE\PV_ICE\baselines\SupportingMaterial\Manual Files\"/>
    </mc:Choice>
  </mc:AlternateContent>
  <xr:revisionPtr revIDLastSave="0" documentId="13_ncr:1_{898D25E6-5F9D-4382-A9CF-FCE690525C40}" xr6:coauthVersionLast="47" xr6:coauthVersionMax="47" xr10:uidLastSave="{00000000-0000-0000-0000-000000000000}"/>
  <bookViews>
    <workbookView xWindow="-28590" yWindow="4395" windowWidth="24915" windowHeight="10680" xr2:uid="{00000000-000D-0000-FFFF-FFFF00000000}"/>
  </bookViews>
  <sheets>
    <sheet name="Sheet1" sheetId="1" r:id="rId1"/>
    <sheet name="yole2023" sheetId="3" r:id="rId2"/>
    <sheet name="WoodMacInverterCompany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3" l="1"/>
  <c r="B22" i="3"/>
  <c r="B23" i="3"/>
  <c r="B24" i="3"/>
  <c r="B25" i="3"/>
  <c r="B26" i="3"/>
  <c r="B27" i="3"/>
  <c r="B28" i="3"/>
  <c r="B29" i="3"/>
  <c r="B30" i="3"/>
  <c r="B20" i="3"/>
  <c r="B37" i="1"/>
  <c r="V37" i="1" s="1"/>
  <c r="G8" i="3"/>
  <c r="H8" i="3"/>
  <c r="H13" i="3"/>
  <c r="F14" i="3"/>
  <c r="E5" i="3"/>
  <c r="F5" i="3" s="1"/>
  <c r="E6" i="3"/>
  <c r="F6" i="3" s="1"/>
  <c r="E7" i="3"/>
  <c r="G7" i="3" s="1"/>
  <c r="E8" i="3"/>
  <c r="F8" i="3" s="1"/>
  <c r="E9" i="3"/>
  <c r="F9" i="3" s="1"/>
  <c r="E10" i="3"/>
  <c r="G10" i="3" s="1"/>
  <c r="E11" i="3"/>
  <c r="F11" i="3" s="1"/>
  <c r="E12" i="3"/>
  <c r="F12" i="3" s="1"/>
  <c r="E13" i="3"/>
  <c r="F13" i="3" s="1"/>
  <c r="E14" i="3"/>
  <c r="G14" i="3" s="1"/>
  <c r="E4" i="3"/>
  <c r="H4" i="3" s="1"/>
  <c r="B28" i="1"/>
  <c r="U37" i="1" l="1"/>
  <c r="U36" i="1"/>
  <c r="U35" i="1"/>
  <c r="V36" i="1"/>
  <c r="V35" i="1"/>
  <c r="T36" i="1"/>
  <c r="V34" i="1"/>
  <c r="U33" i="1"/>
  <c r="T37" i="1"/>
  <c r="T35" i="1"/>
  <c r="V33" i="1"/>
  <c r="U32" i="1"/>
  <c r="T34" i="1"/>
  <c r="V32" i="1"/>
  <c r="U34" i="1"/>
  <c r="T38" i="1"/>
  <c r="T33" i="1"/>
  <c r="V31" i="1"/>
  <c r="U30" i="1"/>
  <c r="V39" i="1"/>
  <c r="T40" i="1"/>
  <c r="U39" i="1"/>
  <c r="V38" i="1"/>
  <c r="T32" i="1"/>
  <c r="U31" i="1"/>
  <c r="T31" i="1"/>
  <c r="V30" i="1"/>
  <c r="V40" i="1"/>
  <c r="T30" i="1"/>
  <c r="U40" i="1"/>
  <c r="T39" i="1"/>
  <c r="U38" i="1"/>
  <c r="G13" i="3"/>
  <c r="H12" i="3"/>
  <c r="G12" i="3"/>
  <c r="F10" i="3"/>
  <c r="H9" i="3"/>
  <c r="F4" i="3"/>
  <c r="G11" i="3"/>
  <c r="G4" i="3"/>
  <c r="F7" i="3"/>
  <c r="H14" i="3"/>
  <c r="H10" i="3"/>
  <c r="H6" i="3"/>
  <c r="H11" i="3"/>
  <c r="H7" i="3"/>
  <c r="G6" i="3"/>
  <c r="H5" i="3"/>
  <c r="G9" i="3"/>
  <c r="G5" i="3"/>
</calcChain>
</file>

<file path=xl/sharedStrings.xml><?xml version="1.0" encoding="utf-8"?>
<sst xmlns="http://schemas.openxmlformats.org/spreadsheetml/2006/main" count="303" uniqueCount="97">
  <si>
    <t>year</t>
  </si>
  <si>
    <t>Notes1</t>
  </si>
  <si>
    <t>Source1</t>
  </si>
  <si>
    <t>EPC GaN chips data sheets, avg'd, calculated for molar mass of Ga in GaN</t>
  </si>
  <si>
    <t>Chips per inverter [#/inverter type]</t>
  </si>
  <si>
    <t>Source2</t>
  </si>
  <si>
    <t>Notes2</t>
  </si>
  <si>
    <t>GaN FET/ 1.6kW microinverter</t>
  </si>
  <si>
    <t>GaN FET/ 3 Phase, 600,800,1000V inverter</t>
  </si>
  <si>
    <t>TI reference design</t>
  </si>
  <si>
    <t>Han, Zhongkui, Qiance Liu, Xin Ouyang, Huiling Song, Tianming Gao, Yanfei Liu, Bojie Wen, and Tao Dai. 2024. “Tracking Two Decades of Global Gallium Stocks and Flows: A Dynamic Material Flow Analysis.” Resources, Conservation and Recycling 202 (March):107391. https://doi.org/10.1016/j.resconrec.2023.107391.</t>
  </si>
  <si>
    <t>Table S7 says no integrated circuits go to PV applications??</t>
  </si>
  <si>
    <t>unit</t>
  </si>
  <si>
    <t>Ga in Chip</t>
  </si>
  <si>
    <t xml:space="preserve"> [mg/FET]</t>
  </si>
  <si>
    <t>g/cm^3</t>
  </si>
  <si>
    <t>Table S3, from Lovik 2016 * thickness of chip</t>
  </si>
  <si>
    <t>m thickness of chip</t>
  </si>
  <si>
    <t>Table S3, from Lovik 2016 * thickness of chip * lots of losses</t>
  </si>
  <si>
    <r>
      <t>United States total PV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</si>
  <si>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Ranking</t>
  </si>
  <si>
    <t>Company</t>
  </si>
  <si>
    <t>Market Share</t>
  </si>
  <si>
    <t>Sungrow*</t>
  </si>
  <si>
    <t>Power Electronics</t>
  </si>
  <si>
    <t>GE Vernova</t>
  </si>
  <si>
    <t>TMEIC</t>
  </si>
  <si>
    <t>SMA</t>
  </si>
  <si>
    <t>Enphase</t>
  </si>
  <si>
    <t>SolarEdge</t>
  </si>
  <si>
    <t>Chint Power Systems</t>
  </si>
  <si>
    <t>Ingeteam</t>
  </si>
  <si>
    <t>Gamesa</t>
  </si>
  <si>
    <t/>
  </si>
  <si>
    <t>All Others</t>
  </si>
  <si>
    <t>2023 PV inverter shipments (MWac)</t>
  </si>
  <si>
    <r>
      <t>US microinverter market share 
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</si>
  <si>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Hoymiles</t>
  </si>
  <si>
    <t>APsystems*</t>
  </si>
  <si>
    <t>NEP</t>
  </si>
  <si>
    <r>
      <t>US single-phase string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</si>
  <si>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SolarEdge*</t>
  </si>
  <si>
    <t>Ginlong Solis</t>
  </si>
  <si>
    <t>Growatt</t>
  </si>
  <si>
    <t>Fronius</t>
  </si>
  <si>
    <t>Fimer*</t>
  </si>
  <si>
    <r>
      <t>US three-phase string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</si>
  <si>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Yaskawa Solectria</t>
  </si>
  <si>
    <r>
      <t>US central inverter market share 
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</si>
  <si>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r>
      <t>US DC-coupled hybrid inverter 
market share (% of shipped MW</t>
    </r>
    <r>
      <rPr>
        <b/>
        <vertAlign val="subscript"/>
        <sz val="12"/>
        <color theme="0"/>
        <rFont val="Arial"/>
        <family val="2"/>
      </rPr>
      <t>ac</t>
    </r>
    <r>
      <rPr>
        <b/>
        <sz val="12"/>
        <color theme="0"/>
        <rFont val="Arial"/>
        <family val="2"/>
      </rPr>
      <t>)</t>
    </r>
  </si>
  <si>
    <t>GoodWe</t>
  </si>
  <si>
    <t>Source</t>
  </si>
  <si>
    <t>GaN market share</t>
  </si>
  <si>
    <t>Notes (vs Si or SiC)</t>
  </si>
  <si>
    <t>SiC</t>
  </si>
  <si>
    <t>GaN</t>
  </si>
  <si>
    <t>Silicon</t>
  </si>
  <si>
    <t>*keeps being used in power supply consumer applications</t>
  </si>
  <si>
    <t>Total Market value</t>
  </si>
  <si>
    <t>Power Electronics Market Revenue Value by material</t>
  </si>
  <si>
    <t>slide 56</t>
  </si>
  <si>
    <t>Discrete GaN HEMT market revenue forcast by application</t>
  </si>
  <si>
    <t>[$M]</t>
  </si>
  <si>
    <t>Total GaN HEMT market</t>
  </si>
  <si>
    <t>Total power electronics discrete market</t>
  </si>
  <si>
    <t>Slide 72-73</t>
  </si>
  <si>
    <t>PV power electronics market, all technologies</t>
  </si>
  <si>
    <t>Total Market revenue, all sectors</t>
  </si>
  <si>
    <t>[$M]?</t>
  </si>
  <si>
    <t>PV GaN HEMT</t>
  </si>
  <si>
    <t>% GaN in PV</t>
  </si>
  <si>
    <t>%</t>
  </si>
  <si>
    <t>Yole 2023 slide 72-3</t>
  </si>
  <si>
    <t>see yole 2023 sheet</t>
  </si>
  <si>
    <t>see google sheet for avg calc</t>
  </si>
  <si>
    <t>[g/FET]</t>
  </si>
  <si>
    <t>% GaN HEMT in PV application market</t>
  </si>
  <si>
    <t>Silvana counted 6 in the circuit diagram</t>
  </si>
  <si>
    <t>GaN FET/ 10 kW single phase with Battery</t>
  </si>
  <si>
    <t>*Heather will go back and inventory all the GaN TI ref designs adding # of phases and Voltage</t>
  </si>
  <si>
    <t>SELECTED AS REPRESENTATIVE DESIGN</t>
  </si>
  <si>
    <t>MICRO</t>
  </si>
  <si>
    <t>UTILITY</t>
  </si>
  <si>
    <t>STRING</t>
  </si>
  <si>
    <t># of Phases</t>
  </si>
  <si>
    <t>500 V</t>
  </si>
  <si>
    <t>600, 800, 1000 V</t>
  </si>
  <si>
    <t>Voltages [V]</t>
  </si>
  <si>
    <t>Inverter Description</t>
  </si>
  <si>
    <t>60 Vdc, 240 Vac</t>
  </si>
  <si>
    <t>*check for a material value</t>
  </si>
  <si>
    <t>Micro [g/inverter]</t>
  </si>
  <si>
    <t>String [g/inverter]</t>
  </si>
  <si>
    <t>Utility [g/inverter]</t>
  </si>
  <si>
    <t>https://www.ti.com/tool/TIDA-010949</t>
  </si>
  <si>
    <t>80 V</t>
  </si>
  <si>
    <t>600W solar power optimizer reference design based on GaN with wired and wireless communication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</si>
</sst>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0.0%"/>
    <numFmt numFmtId="167" formatCode="0.000%"/>
    <numFmt numFmtId="171" formatCode="0.000000000E+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0"/>
      <name val="Arial"/>
      <family val="2"/>
    </font>
    <font>
      <b/>
      <vertAlign val="subscript"/>
      <sz val="12"/>
      <color theme="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trike/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5" fillId="0" borderId="0"/>
    <xf numFmtId="9" fontId="6" fillId="0" borderId="0" applyFont="0" applyFill="0" applyBorder="0" applyAlignment="0" applyProtection="0"/>
  </cellStyleXfs>
  <cellXfs count="31">
    <xf numFmtId="0" fontId="0" fillId="0" borderId="0" xfId="0"/>
    <xf numFmtId="0" fontId="0" fillId="0" borderId="1" xfId="0" applyBorder="1"/>
    <xf numFmtId="0" fontId="2" fillId="0" borderId="0" xfId="1" applyAlignment="1">
      <alignment horizontal="left" vertical="center" indent="2"/>
    </xf>
    <xf numFmtId="0" fontId="1" fillId="0" borderId="0" xfId="0" applyFont="1" applyAlignment="1">
      <alignment wrapText="1"/>
    </xf>
    <xf numFmtId="0" fontId="0" fillId="0" borderId="0" xfId="0" applyAlignment="1">
      <alignment horizontal="center"/>
    </xf>
    <xf numFmtId="9" fontId="0" fillId="0" borderId="2" xfId="3" applyFont="1" applyBorder="1"/>
    <xf numFmtId="9" fontId="0" fillId="0" borderId="3" xfId="3" applyFont="1" applyBorder="1"/>
    <xf numFmtId="9" fontId="0" fillId="0" borderId="4" xfId="3" applyFont="1" applyBorder="1"/>
    <xf numFmtId="9" fontId="0" fillId="0" borderId="5" xfId="3" applyFont="1" applyBorder="1"/>
    <xf numFmtId="9" fontId="0" fillId="0" borderId="6" xfId="3" applyFont="1" applyBorder="1"/>
    <xf numFmtId="9" fontId="0" fillId="0" borderId="8" xfId="3" applyFont="1" applyBorder="1"/>
    <xf numFmtId="0" fontId="1" fillId="0" borderId="0" xfId="0" applyFont="1"/>
    <xf numFmtId="0" fontId="8" fillId="0" borderId="0" xfId="0" applyFont="1"/>
    <xf numFmtId="0" fontId="9" fillId="0" borderId="0" xfId="1" applyFont="1" applyAlignment="1">
      <alignment horizontal="left" vertical="center" indent="2"/>
    </xf>
    <xf numFmtId="10" fontId="0" fillId="0" borderId="0" xfId="3" applyNumberFormat="1" applyFont="1"/>
    <xf numFmtId="10" fontId="0" fillId="0" borderId="1" xfId="3" applyNumberFormat="1" applyFont="1" applyBorder="1"/>
    <xf numFmtId="10" fontId="0" fillId="0" borderId="0" xfId="0" applyNumberFormat="1"/>
    <xf numFmtId="0" fontId="0" fillId="0" borderId="0" xfId="0" applyAlignment="1">
      <alignment horizontal="center"/>
    </xf>
    <xf numFmtId="0" fontId="10" fillId="0" borderId="1" xfId="0" applyFont="1" applyBorder="1"/>
    <xf numFmtId="0" fontId="10" fillId="0" borderId="0" xfId="0" applyFont="1" applyBorder="1"/>
    <xf numFmtId="0" fontId="1" fillId="0" borderId="0" xfId="0" applyFont="1" applyAlignment="1">
      <alignment horizontal="center" wrapText="1"/>
    </xf>
    <xf numFmtId="0" fontId="8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NumberFormat="1"/>
    <xf numFmtId="0" fontId="0" fillId="2" borderId="0" xfId="0" applyFill="1"/>
    <xf numFmtId="166" fontId="0" fillId="2" borderId="1" xfId="3" applyNumberFormat="1" applyFont="1" applyFill="1" applyBorder="1"/>
    <xf numFmtId="166" fontId="0" fillId="2" borderId="0" xfId="3" applyNumberFormat="1" applyFont="1" applyFill="1" applyBorder="1"/>
    <xf numFmtId="166" fontId="0" fillId="2" borderId="7" xfId="3" applyNumberFormat="1" applyFont="1" applyFill="1" applyBorder="1"/>
    <xf numFmtId="167" fontId="0" fillId="2" borderId="0" xfId="3" applyNumberFormat="1" applyFont="1" applyFill="1"/>
    <xf numFmtId="171" fontId="0" fillId="0" borderId="0" xfId="0" applyNumberFormat="1"/>
    <xf numFmtId="0" fontId="2" fillId="0" borderId="1" xfId="1" applyBorder="1"/>
  </cellXfs>
  <cellStyles count="4">
    <cellStyle name="Hyperlink" xfId="1" builtinId="8"/>
    <cellStyle name="Normal" xfId="0" builtinId="0"/>
    <cellStyle name="Normal 2" xfId="2" xr:uid="{79DAC96B-20AC-40F4-9E81-4409C0962EC5}"/>
    <cellStyle name="Percent" xfId="3" builtinId="5"/>
  </cellStyles>
  <dxfs count="0"/>
  <tableStyles count="0" defaultTableStyle="TableStyleMedium2" defaultPivotStyle="PivotStyleMedium9"/>
  <colors>
    <mruColors>
      <color rgb="FFFFC425"/>
      <color rgb="FFD9531E"/>
      <color rgb="FF933C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Custom 2">
      <a:dk1>
        <a:sysClr val="windowText" lastClr="000000"/>
      </a:dk1>
      <a:lt1>
        <a:sysClr val="window" lastClr="FFFFFF"/>
      </a:lt1>
      <a:dk2>
        <a:srgbClr val="007BBD"/>
      </a:dk2>
      <a:lt2>
        <a:srgbClr val="00A4E4"/>
      </a:lt2>
      <a:accent1>
        <a:srgbClr val="F6A01A"/>
      </a:accent1>
      <a:accent2>
        <a:srgbClr val="FFC425"/>
      </a:accent2>
      <a:accent3>
        <a:srgbClr val="5E9732"/>
      </a:accent3>
      <a:accent4>
        <a:srgbClr val="8DC63F"/>
      </a:accent4>
      <a:accent5>
        <a:srgbClr val="933C06"/>
      </a:accent5>
      <a:accent6>
        <a:srgbClr val="D9531E"/>
      </a:accent6>
      <a:hlink>
        <a:srgbClr val="0000FF"/>
      </a:hlink>
      <a:folHlink>
        <a:srgbClr val="800080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i.org/10.1016/j.resconrec.2023.107391" TargetMode="External"/><Relationship Id="rId2" Type="http://schemas.openxmlformats.org/officeDocument/2006/relationships/hyperlink" Target="https://doi.org/10.1016/j.resconrec.2023.107391" TargetMode="External"/><Relationship Id="rId1" Type="http://schemas.openxmlformats.org/officeDocument/2006/relationships/hyperlink" Target="https://doi.org/10.1016/j.resconrec.2023.107391" TargetMode="External"/><Relationship Id="rId4" Type="http://schemas.openxmlformats.org/officeDocument/2006/relationships/hyperlink" Target="https://www.ti.com/tool/TIDA-0109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12"/>
  <sheetViews>
    <sheetView tabSelected="1" zoomScaleNormal="100"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K37" sqref="K37"/>
    </sheetView>
  </sheetViews>
  <sheetFormatPr defaultRowHeight="14.5" x14ac:dyDescent="0.35"/>
  <cols>
    <col min="1" max="1" width="4.81640625" bestFit="1" customWidth="1"/>
    <col min="2" max="2" width="9.81640625" bestFit="1" customWidth="1"/>
    <col min="3" max="3" width="8.81640625" bestFit="1" customWidth="1"/>
    <col min="6" max="6" width="1.453125" customWidth="1"/>
    <col min="7" max="7" width="15.81640625" customWidth="1"/>
    <col min="8" max="8" width="10.26953125" bestFit="1" customWidth="1"/>
    <col min="9" max="9" width="14.26953125" bestFit="1" customWidth="1"/>
    <col min="10" max="10" width="36" customWidth="1"/>
    <col min="11" max="11" width="17" style="4" customWidth="1"/>
    <col min="14" max="14" width="1.08984375" customWidth="1"/>
    <col min="15" max="15" width="12.08984375" customWidth="1"/>
    <col min="16" max="16" width="4.36328125" bestFit="1" customWidth="1"/>
    <col min="17" max="17" width="9.08984375" customWidth="1"/>
    <col min="18" max="18" width="16.90625" customWidth="1"/>
    <col min="19" max="19" width="1.1796875" customWidth="1"/>
    <col min="20" max="22" width="11.81640625" bestFit="1" customWidth="1"/>
    <col min="23" max="23" width="8.90625" customWidth="1"/>
    <col min="24" max="25" width="15.453125" bestFit="1" customWidth="1"/>
    <col min="38" max="38" width="18.1796875" bestFit="1" customWidth="1"/>
  </cols>
  <sheetData>
    <row r="1" spans="1:22" s="3" customFormat="1" ht="43.5" x14ac:dyDescent="0.35">
      <c r="A1" s="3" t="s">
        <v>0</v>
      </c>
      <c r="B1" s="3" t="s">
        <v>13</v>
      </c>
      <c r="C1" s="3" t="s">
        <v>12</v>
      </c>
      <c r="D1" s="3" t="s">
        <v>2</v>
      </c>
      <c r="E1" s="3" t="s">
        <v>1</v>
      </c>
      <c r="G1" s="3" t="s">
        <v>4</v>
      </c>
      <c r="H1" s="3" t="s">
        <v>84</v>
      </c>
      <c r="I1" s="3" t="s">
        <v>87</v>
      </c>
      <c r="J1" s="3" t="s">
        <v>88</v>
      </c>
      <c r="K1" s="20" t="s">
        <v>80</v>
      </c>
      <c r="L1" s="3" t="s">
        <v>5</v>
      </c>
      <c r="M1" s="3" t="s">
        <v>6</v>
      </c>
      <c r="O1" s="3" t="s">
        <v>52</v>
      </c>
      <c r="P1" s="3" t="s">
        <v>12</v>
      </c>
      <c r="Q1" s="3" t="s">
        <v>51</v>
      </c>
      <c r="R1" s="3" t="s">
        <v>53</v>
      </c>
      <c r="T1" s="3" t="s">
        <v>91</v>
      </c>
      <c r="U1" s="3" t="s">
        <v>92</v>
      </c>
      <c r="V1" s="3" t="s">
        <v>93</v>
      </c>
    </row>
    <row r="2" spans="1:22" x14ac:dyDescent="0.35">
      <c r="A2">
        <v>1990</v>
      </c>
    </row>
    <row r="3" spans="1:22" x14ac:dyDescent="0.35">
      <c r="A3">
        <v>1991</v>
      </c>
    </row>
    <row r="4" spans="1:22" x14ac:dyDescent="0.35">
      <c r="A4">
        <v>1992</v>
      </c>
    </row>
    <row r="5" spans="1:22" x14ac:dyDescent="0.35">
      <c r="A5">
        <v>1993</v>
      </c>
    </row>
    <row r="6" spans="1:22" x14ac:dyDescent="0.35">
      <c r="A6">
        <v>1994</v>
      </c>
    </row>
    <row r="7" spans="1:22" x14ac:dyDescent="0.35">
      <c r="A7">
        <v>1995</v>
      </c>
    </row>
    <row r="8" spans="1:22" x14ac:dyDescent="0.35">
      <c r="A8">
        <v>1996</v>
      </c>
    </row>
    <row r="9" spans="1:22" x14ac:dyDescent="0.35">
      <c r="A9">
        <v>1997</v>
      </c>
    </row>
    <row r="10" spans="1:22" x14ac:dyDescent="0.35">
      <c r="A10">
        <v>1998</v>
      </c>
    </row>
    <row r="11" spans="1:22" x14ac:dyDescent="0.35">
      <c r="A11">
        <v>1999</v>
      </c>
    </row>
    <row r="12" spans="1:22" x14ac:dyDescent="0.35">
      <c r="A12">
        <v>2000</v>
      </c>
    </row>
    <row r="13" spans="1:22" x14ac:dyDescent="0.35">
      <c r="A13">
        <v>2001</v>
      </c>
    </row>
    <row r="14" spans="1:22" x14ac:dyDescent="0.35">
      <c r="A14">
        <v>2002</v>
      </c>
    </row>
    <row r="15" spans="1:22" x14ac:dyDescent="0.35">
      <c r="A15">
        <v>2003</v>
      </c>
    </row>
    <row r="16" spans="1:22" x14ac:dyDescent="0.35">
      <c r="A16">
        <v>2004</v>
      </c>
    </row>
    <row r="17" spans="1:25" x14ac:dyDescent="0.35">
      <c r="A17">
        <v>2005</v>
      </c>
    </row>
    <row r="18" spans="1:25" x14ac:dyDescent="0.35">
      <c r="A18">
        <v>2006</v>
      </c>
    </row>
    <row r="19" spans="1:25" x14ac:dyDescent="0.35">
      <c r="A19">
        <v>2007</v>
      </c>
    </row>
    <row r="20" spans="1:25" x14ac:dyDescent="0.35">
      <c r="A20">
        <v>2008</v>
      </c>
    </row>
    <row r="21" spans="1:25" x14ac:dyDescent="0.35">
      <c r="A21">
        <v>2009</v>
      </c>
    </row>
    <row r="22" spans="1:25" x14ac:dyDescent="0.35">
      <c r="A22">
        <v>2010</v>
      </c>
    </row>
    <row r="23" spans="1:25" x14ac:dyDescent="0.35">
      <c r="A23">
        <v>2011</v>
      </c>
    </row>
    <row r="24" spans="1:25" x14ac:dyDescent="0.35">
      <c r="A24">
        <v>2012</v>
      </c>
    </row>
    <row r="25" spans="1:25" x14ac:dyDescent="0.35">
      <c r="A25">
        <v>2013</v>
      </c>
    </row>
    <row r="26" spans="1:25" x14ac:dyDescent="0.35">
      <c r="A26">
        <v>2014</v>
      </c>
      <c r="G26" s="18" t="s">
        <v>79</v>
      </c>
      <c r="H26" s="19"/>
      <c r="I26" s="19"/>
    </row>
    <row r="27" spans="1:25" x14ac:dyDescent="0.35">
      <c r="A27">
        <v>2015</v>
      </c>
      <c r="B27">
        <v>5.12</v>
      </c>
      <c r="C27" t="s">
        <v>15</v>
      </c>
      <c r="D27" s="2" t="s">
        <v>10</v>
      </c>
      <c r="E27" t="s">
        <v>16</v>
      </c>
    </row>
    <row r="28" spans="1:25" x14ac:dyDescent="0.35">
      <c r="A28">
        <v>2016</v>
      </c>
      <c r="B28">
        <f>1*10^-4</f>
        <v>1E-4</v>
      </c>
      <c r="C28" t="s">
        <v>17</v>
      </c>
      <c r="D28" s="2" t="s">
        <v>10</v>
      </c>
      <c r="E28" t="s">
        <v>18</v>
      </c>
    </row>
    <row r="29" spans="1:25" x14ac:dyDescent="0.35">
      <c r="A29">
        <v>2017</v>
      </c>
      <c r="O29" t="s">
        <v>76</v>
      </c>
    </row>
    <row r="30" spans="1:25" x14ac:dyDescent="0.35">
      <c r="A30">
        <v>2018</v>
      </c>
      <c r="O30" s="14">
        <v>3.1809145129224651E-5</v>
      </c>
      <c r="P30" t="s">
        <v>71</v>
      </c>
      <c r="Q30" t="s">
        <v>72</v>
      </c>
      <c r="R30" t="s">
        <v>73</v>
      </c>
      <c r="T30">
        <f>$B$37*$G$35*O30</f>
        <v>1.0751491053677931E-8</v>
      </c>
      <c r="U30">
        <f>$B$37*$G$34*O30</f>
        <v>6.4508946322067582E-9</v>
      </c>
      <c r="V30">
        <f>$B$37*$G$36*O30</f>
        <v>6.4508946322067582E-9</v>
      </c>
      <c r="W30" s="29"/>
      <c r="X30" s="29"/>
      <c r="Y30" s="29"/>
    </row>
    <row r="31" spans="1:25" x14ac:dyDescent="0.35">
      <c r="A31">
        <v>2019</v>
      </c>
      <c r="O31" s="14">
        <v>3.0434451799436964E-5</v>
      </c>
      <c r="P31" t="s">
        <v>71</v>
      </c>
      <c r="Q31" t="s">
        <v>72</v>
      </c>
      <c r="R31" t="s">
        <v>73</v>
      </c>
      <c r="T31">
        <f t="shared" ref="T31:T40" si="0">$B$37*$G$35*O31</f>
        <v>1.0286844708209693E-8</v>
      </c>
      <c r="U31">
        <f t="shared" ref="U31:U40" si="1">$B$37*$G$34*O31</f>
        <v>6.1721068249258155E-9</v>
      </c>
      <c r="V31">
        <f t="shared" ref="V31:V40" si="2">$B$37*$G$36*O31</f>
        <v>6.1721068249258155E-9</v>
      </c>
      <c r="W31" s="29"/>
      <c r="X31" s="29"/>
      <c r="Y31" s="29"/>
    </row>
    <row r="32" spans="1:25" x14ac:dyDescent="0.35">
      <c r="A32">
        <v>2020</v>
      </c>
      <c r="O32" s="14">
        <v>5.4192149880003095E-5</v>
      </c>
      <c r="P32" t="s">
        <v>71</v>
      </c>
      <c r="Q32" t="s">
        <v>72</v>
      </c>
      <c r="R32" t="s">
        <v>73</v>
      </c>
      <c r="T32">
        <f t="shared" si="0"/>
        <v>1.8316946659441044E-8</v>
      </c>
      <c r="U32">
        <f t="shared" si="1"/>
        <v>1.0990167995664626E-8</v>
      </c>
      <c r="V32">
        <f t="shared" si="2"/>
        <v>1.0990167995664626E-8</v>
      </c>
      <c r="W32" s="29"/>
      <c r="X32" s="29"/>
      <c r="Y32" s="29"/>
    </row>
    <row r="33" spans="1:25" x14ac:dyDescent="0.35">
      <c r="A33">
        <v>2021</v>
      </c>
      <c r="G33" s="12">
        <v>0</v>
      </c>
      <c r="H33" s="12"/>
      <c r="I33" s="12"/>
      <c r="J33" s="12" t="s">
        <v>11</v>
      </c>
      <c r="K33" s="21"/>
      <c r="L33" s="13" t="s">
        <v>10</v>
      </c>
      <c r="O33" s="14">
        <v>8.058017727639001E-5</v>
      </c>
      <c r="P33" t="s">
        <v>71</v>
      </c>
      <c r="Q33" t="s">
        <v>72</v>
      </c>
      <c r="R33" t="s">
        <v>73</v>
      </c>
      <c r="T33">
        <f t="shared" si="0"/>
        <v>2.7236099919419822E-8</v>
      </c>
      <c r="U33">
        <f t="shared" si="1"/>
        <v>1.6341659951651891E-8</v>
      </c>
      <c r="V33">
        <f t="shared" si="2"/>
        <v>1.6341659951651891E-8</v>
      </c>
      <c r="W33" s="29"/>
      <c r="X33" s="29"/>
      <c r="Y33" s="29"/>
    </row>
    <row r="34" spans="1:25" x14ac:dyDescent="0.35">
      <c r="A34">
        <v>2022</v>
      </c>
      <c r="G34">
        <v>6</v>
      </c>
      <c r="H34">
        <v>1</v>
      </c>
      <c r="I34" t="s">
        <v>85</v>
      </c>
      <c r="J34" t="s">
        <v>78</v>
      </c>
      <c r="K34" s="4" t="s">
        <v>83</v>
      </c>
      <c r="L34" t="s">
        <v>9</v>
      </c>
      <c r="O34" s="14">
        <v>1.9553072625698323E-4</v>
      </c>
      <c r="P34" t="s">
        <v>71</v>
      </c>
      <c r="Q34" t="s">
        <v>72</v>
      </c>
      <c r="R34" t="s">
        <v>73</v>
      </c>
      <c r="T34">
        <f t="shared" si="0"/>
        <v>6.6089385474860326E-8</v>
      </c>
      <c r="U34">
        <f t="shared" si="1"/>
        <v>3.9653631284916192E-8</v>
      </c>
      <c r="V34">
        <f t="shared" si="2"/>
        <v>3.9653631284916192E-8</v>
      </c>
      <c r="W34" s="29"/>
      <c r="X34" s="29"/>
      <c r="Y34" s="29"/>
    </row>
    <row r="35" spans="1:25" x14ac:dyDescent="0.35">
      <c r="A35">
        <v>2023</v>
      </c>
      <c r="G35">
        <v>10</v>
      </c>
      <c r="I35" t="s">
        <v>89</v>
      </c>
      <c r="J35" t="s">
        <v>7</v>
      </c>
      <c r="K35" s="4" t="s">
        <v>81</v>
      </c>
      <c r="L35" t="s">
        <v>9</v>
      </c>
      <c r="O35" s="14">
        <v>3.3690869086908695E-4</v>
      </c>
      <c r="P35" t="s">
        <v>71</v>
      </c>
      <c r="Q35" t="s">
        <v>72</v>
      </c>
      <c r="R35" t="s">
        <v>73</v>
      </c>
      <c r="T35">
        <f t="shared" si="0"/>
        <v>1.1387513751375138E-7</v>
      </c>
      <c r="U35">
        <f t="shared" si="1"/>
        <v>6.8325082508250822E-8</v>
      </c>
      <c r="V35">
        <f t="shared" si="2"/>
        <v>6.8325082508250822E-8</v>
      </c>
      <c r="W35" s="29"/>
      <c r="X35" s="29"/>
      <c r="Y35" s="29"/>
    </row>
    <row r="36" spans="1:25" x14ac:dyDescent="0.35">
      <c r="A36">
        <v>2024</v>
      </c>
      <c r="B36">
        <v>3.3799999999999997E-2</v>
      </c>
      <c r="C36" t="s">
        <v>14</v>
      </c>
      <c r="D36" t="s">
        <v>3</v>
      </c>
      <c r="E36" t="s">
        <v>74</v>
      </c>
      <c r="G36">
        <v>6</v>
      </c>
      <c r="H36">
        <v>3</v>
      </c>
      <c r="I36" s="23" t="s">
        <v>86</v>
      </c>
      <c r="J36" t="s">
        <v>8</v>
      </c>
      <c r="K36" s="4" t="s">
        <v>82</v>
      </c>
      <c r="L36" t="s">
        <v>9</v>
      </c>
      <c r="M36" t="s">
        <v>77</v>
      </c>
      <c r="O36" s="14">
        <v>4.8114948589506984E-4</v>
      </c>
      <c r="P36" t="s">
        <v>71</v>
      </c>
      <c r="Q36" t="s">
        <v>72</v>
      </c>
      <c r="R36" t="s">
        <v>73</v>
      </c>
      <c r="T36">
        <f t="shared" si="0"/>
        <v>1.6262852623253359E-7</v>
      </c>
      <c r="U36">
        <f t="shared" si="1"/>
        <v>9.7577115739520148E-8</v>
      </c>
      <c r="V36">
        <f t="shared" si="2"/>
        <v>9.7577115739520148E-8</v>
      </c>
      <c r="W36" s="29"/>
      <c r="X36" s="29"/>
      <c r="Y36" s="29"/>
    </row>
    <row r="37" spans="1:25" s="1" customFormat="1" x14ac:dyDescent="0.35">
      <c r="A37" s="1">
        <v>2025</v>
      </c>
      <c r="B37" s="1">
        <f>B36/1000</f>
        <v>3.3799999999999995E-5</v>
      </c>
      <c r="C37" s="1" t="s">
        <v>75</v>
      </c>
      <c r="H37" s="1">
        <v>1</v>
      </c>
      <c r="I37" s="1" t="s">
        <v>95</v>
      </c>
      <c r="J37" s="1" t="s">
        <v>96</v>
      </c>
      <c r="K37" s="22"/>
      <c r="M37" s="30" t="s">
        <v>94</v>
      </c>
      <c r="O37" s="15">
        <v>6.5715358618099887E-4</v>
      </c>
      <c r="P37" t="s">
        <v>71</v>
      </c>
      <c r="Q37" t="s">
        <v>72</v>
      </c>
      <c r="R37" t="s">
        <v>73</v>
      </c>
      <c r="T37">
        <f t="shared" si="0"/>
        <v>2.2211791212917761E-7</v>
      </c>
      <c r="U37">
        <f t="shared" si="1"/>
        <v>1.3327074727750656E-7</v>
      </c>
      <c r="V37">
        <f t="shared" si="2"/>
        <v>1.3327074727750656E-7</v>
      </c>
      <c r="W37" s="29"/>
      <c r="X37" s="29"/>
      <c r="Y37" s="29"/>
    </row>
    <row r="38" spans="1:25" x14ac:dyDescent="0.35">
      <c r="A38">
        <v>2026</v>
      </c>
      <c r="O38" s="14">
        <v>9.1846409101682864E-4</v>
      </c>
      <c r="P38" t="s">
        <v>71</v>
      </c>
      <c r="Q38" t="s">
        <v>72</v>
      </c>
      <c r="R38" t="s">
        <v>73</v>
      </c>
      <c r="T38">
        <f t="shared" si="0"/>
        <v>3.1044086276368805E-7</v>
      </c>
      <c r="U38">
        <f t="shared" si="1"/>
        <v>1.8626451765821281E-7</v>
      </c>
      <c r="V38">
        <f t="shared" si="2"/>
        <v>1.8626451765821281E-7</v>
      </c>
      <c r="W38" s="29"/>
      <c r="X38" s="29"/>
      <c r="Y38" s="29"/>
    </row>
    <row r="39" spans="1:25" x14ac:dyDescent="0.35">
      <c r="A39">
        <v>2027</v>
      </c>
      <c r="O39" s="14">
        <v>1.028306683993446E-3</v>
      </c>
      <c r="P39" t="s">
        <v>71</v>
      </c>
      <c r="Q39" t="s">
        <v>72</v>
      </c>
      <c r="R39" t="s">
        <v>73</v>
      </c>
      <c r="T39">
        <f t="shared" si="0"/>
        <v>3.4756765918978473E-7</v>
      </c>
      <c r="U39">
        <f t="shared" si="1"/>
        <v>2.085405955138708E-7</v>
      </c>
      <c r="V39">
        <f t="shared" si="2"/>
        <v>2.085405955138708E-7</v>
      </c>
      <c r="W39" s="29"/>
      <c r="X39" s="29"/>
      <c r="Y39" s="29"/>
    </row>
    <row r="40" spans="1:25" x14ac:dyDescent="0.35">
      <c r="A40">
        <v>2028</v>
      </c>
      <c r="O40" s="16">
        <v>1.1831442463533224E-3</v>
      </c>
      <c r="P40" t="s">
        <v>71</v>
      </c>
      <c r="Q40" t="s">
        <v>72</v>
      </c>
      <c r="R40" t="s">
        <v>73</v>
      </c>
      <c r="T40">
        <f t="shared" si="0"/>
        <v>3.9990275526742293E-7</v>
      </c>
      <c r="U40">
        <f t="shared" si="1"/>
        <v>2.3994165316045375E-7</v>
      </c>
      <c r="V40">
        <f t="shared" si="2"/>
        <v>2.3994165316045375E-7</v>
      </c>
      <c r="W40" s="29"/>
      <c r="X40" s="29"/>
      <c r="Y40" s="29"/>
    </row>
    <row r="41" spans="1:25" x14ac:dyDescent="0.35">
      <c r="A41">
        <v>2029</v>
      </c>
    </row>
    <row r="42" spans="1:25" x14ac:dyDescent="0.35">
      <c r="A42">
        <v>2030</v>
      </c>
    </row>
    <row r="43" spans="1:25" x14ac:dyDescent="0.35">
      <c r="A43">
        <v>2031</v>
      </c>
    </row>
    <row r="44" spans="1:25" x14ac:dyDescent="0.35">
      <c r="A44">
        <v>2032</v>
      </c>
    </row>
    <row r="45" spans="1:25" x14ac:dyDescent="0.35">
      <c r="A45">
        <v>2033</v>
      </c>
    </row>
    <row r="46" spans="1:25" x14ac:dyDescent="0.35">
      <c r="A46">
        <v>2034</v>
      </c>
    </row>
    <row r="47" spans="1:25" x14ac:dyDescent="0.35">
      <c r="A47">
        <v>2035</v>
      </c>
    </row>
    <row r="48" spans="1:25" x14ac:dyDescent="0.35">
      <c r="A48">
        <v>2036</v>
      </c>
    </row>
    <row r="49" spans="1:1" x14ac:dyDescent="0.35">
      <c r="A49">
        <v>2037</v>
      </c>
    </row>
    <row r="50" spans="1:1" x14ac:dyDescent="0.35">
      <c r="A50">
        <v>2038</v>
      </c>
    </row>
    <row r="51" spans="1:1" x14ac:dyDescent="0.35">
      <c r="A51">
        <v>2039</v>
      </c>
    </row>
    <row r="52" spans="1:1" x14ac:dyDescent="0.35">
      <c r="A52">
        <v>2040</v>
      </c>
    </row>
    <row r="53" spans="1:1" x14ac:dyDescent="0.35">
      <c r="A53">
        <v>2041</v>
      </c>
    </row>
    <row r="54" spans="1:1" x14ac:dyDescent="0.35">
      <c r="A54">
        <v>2042</v>
      </c>
    </row>
    <row r="55" spans="1:1" x14ac:dyDescent="0.35">
      <c r="A55">
        <v>2043</v>
      </c>
    </row>
    <row r="56" spans="1:1" x14ac:dyDescent="0.35">
      <c r="A56">
        <v>2044</v>
      </c>
    </row>
    <row r="57" spans="1:1" x14ac:dyDescent="0.35">
      <c r="A57">
        <v>2045</v>
      </c>
    </row>
    <row r="58" spans="1:1" x14ac:dyDescent="0.35">
      <c r="A58">
        <v>2046</v>
      </c>
    </row>
    <row r="59" spans="1:1" x14ac:dyDescent="0.35">
      <c r="A59">
        <v>2047</v>
      </c>
    </row>
    <row r="60" spans="1:1" x14ac:dyDescent="0.35">
      <c r="A60">
        <v>2048</v>
      </c>
    </row>
    <row r="61" spans="1:1" x14ac:dyDescent="0.35">
      <c r="A61">
        <v>2049</v>
      </c>
    </row>
    <row r="62" spans="1:1" x14ac:dyDescent="0.35">
      <c r="A62">
        <v>2050</v>
      </c>
    </row>
    <row r="63" spans="1:1" x14ac:dyDescent="0.35">
      <c r="A63">
        <v>2051</v>
      </c>
    </row>
    <row r="64" spans="1:1" x14ac:dyDescent="0.35">
      <c r="A64">
        <v>2052</v>
      </c>
    </row>
    <row r="65" spans="1:1" x14ac:dyDescent="0.35">
      <c r="A65">
        <v>2053</v>
      </c>
    </row>
    <row r="66" spans="1:1" x14ac:dyDescent="0.35">
      <c r="A66">
        <v>2054</v>
      </c>
    </row>
    <row r="67" spans="1:1" x14ac:dyDescent="0.35">
      <c r="A67">
        <v>2055</v>
      </c>
    </row>
    <row r="68" spans="1:1" x14ac:dyDescent="0.35">
      <c r="A68">
        <v>2056</v>
      </c>
    </row>
    <row r="69" spans="1:1" x14ac:dyDescent="0.35">
      <c r="A69">
        <v>2057</v>
      </c>
    </row>
    <row r="70" spans="1:1" x14ac:dyDescent="0.35">
      <c r="A70">
        <v>2058</v>
      </c>
    </row>
    <row r="71" spans="1:1" x14ac:dyDescent="0.35">
      <c r="A71">
        <v>2059</v>
      </c>
    </row>
    <row r="72" spans="1:1" x14ac:dyDescent="0.35">
      <c r="A72">
        <v>2060</v>
      </c>
    </row>
    <row r="73" spans="1:1" x14ac:dyDescent="0.35">
      <c r="A73">
        <v>2061</v>
      </c>
    </row>
    <row r="74" spans="1:1" x14ac:dyDescent="0.35">
      <c r="A74">
        <v>2062</v>
      </c>
    </row>
    <row r="75" spans="1:1" x14ac:dyDescent="0.35">
      <c r="A75">
        <v>2063</v>
      </c>
    </row>
    <row r="76" spans="1:1" x14ac:dyDescent="0.35">
      <c r="A76">
        <v>2064</v>
      </c>
    </row>
    <row r="77" spans="1:1" x14ac:dyDescent="0.35">
      <c r="A77">
        <v>2065</v>
      </c>
    </row>
    <row r="78" spans="1:1" x14ac:dyDescent="0.35">
      <c r="A78">
        <v>2066</v>
      </c>
    </row>
    <row r="79" spans="1:1" x14ac:dyDescent="0.35">
      <c r="A79">
        <v>2067</v>
      </c>
    </row>
    <row r="80" spans="1:1" x14ac:dyDescent="0.35">
      <c r="A80">
        <v>2068</v>
      </c>
    </row>
    <row r="81" spans="1:1" x14ac:dyDescent="0.35">
      <c r="A81">
        <v>2069</v>
      </c>
    </row>
    <row r="82" spans="1:1" x14ac:dyDescent="0.35">
      <c r="A82">
        <v>2070</v>
      </c>
    </row>
    <row r="83" spans="1:1" x14ac:dyDescent="0.35">
      <c r="A83">
        <v>2071</v>
      </c>
    </row>
    <row r="84" spans="1:1" x14ac:dyDescent="0.35">
      <c r="A84">
        <v>2072</v>
      </c>
    </row>
    <row r="85" spans="1:1" x14ac:dyDescent="0.35">
      <c r="A85">
        <v>2073</v>
      </c>
    </row>
    <row r="86" spans="1:1" x14ac:dyDescent="0.35">
      <c r="A86">
        <v>2074</v>
      </c>
    </row>
    <row r="87" spans="1:1" x14ac:dyDescent="0.35">
      <c r="A87">
        <v>2075</v>
      </c>
    </row>
    <row r="88" spans="1:1" x14ac:dyDescent="0.35">
      <c r="A88">
        <v>2076</v>
      </c>
    </row>
    <row r="89" spans="1:1" x14ac:dyDescent="0.35">
      <c r="A89">
        <v>2077</v>
      </c>
    </row>
    <row r="90" spans="1:1" x14ac:dyDescent="0.35">
      <c r="A90">
        <v>2078</v>
      </c>
    </row>
    <row r="91" spans="1:1" x14ac:dyDescent="0.35">
      <c r="A91">
        <v>2079</v>
      </c>
    </row>
    <row r="92" spans="1:1" x14ac:dyDescent="0.35">
      <c r="A92">
        <v>2080</v>
      </c>
    </row>
    <row r="93" spans="1:1" x14ac:dyDescent="0.35">
      <c r="A93">
        <v>2081</v>
      </c>
    </row>
    <row r="94" spans="1:1" x14ac:dyDescent="0.35">
      <c r="A94">
        <v>2082</v>
      </c>
    </row>
    <row r="95" spans="1:1" x14ac:dyDescent="0.35">
      <c r="A95">
        <v>2083</v>
      </c>
    </row>
    <row r="96" spans="1:1" x14ac:dyDescent="0.35">
      <c r="A96">
        <v>2084</v>
      </c>
    </row>
    <row r="97" spans="1:1" x14ac:dyDescent="0.35">
      <c r="A97">
        <v>2085</v>
      </c>
    </row>
    <row r="98" spans="1:1" x14ac:dyDescent="0.35">
      <c r="A98">
        <v>2086</v>
      </c>
    </row>
    <row r="99" spans="1:1" x14ac:dyDescent="0.35">
      <c r="A99">
        <v>2087</v>
      </c>
    </row>
    <row r="100" spans="1:1" x14ac:dyDescent="0.35">
      <c r="A100">
        <v>2088</v>
      </c>
    </row>
    <row r="101" spans="1:1" x14ac:dyDescent="0.35">
      <c r="A101">
        <v>2089</v>
      </c>
    </row>
    <row r="102" spans="1:1" x14ac:dyDescent="0.35">
      <c r="A102">
        <v>2090</v>
      </c>
    </row>
    <row r="103" spans="1:1" x14ac:dyDescent="0.35">
      <c r="A103">
        <v>2091</v>
      </c>
    </row>
    <row r="104" spans="1:1" x14ac:dyDescent="0.35">
      <c r="A104">
        <v>2092</v>
      </c>
    </row>
    <row r="105" spans="1:1" x14ac:dyDescent="0.35">
      <c r="A105">
        <v>2093</v>
      </c>
    </row>
    <row r="106" spans="1:1" x14ac:dyDescent="0.35">
      <c r="A106">
        <v>2094</v>
      </c>
    </row>
    <row r="107" spans="1:1" x14ac:dyDescent="0.35">
      <c r="A107">
        <v>2095</v>
      </c>
    </row>
    <row r="108" spans="1:1" x14ac:dyDescent="0.35">
      <c r="A108">
        <v>2096</v>
      </c>
    </row>
    <row r="109" spans="1:1" x14ac:dyDescent="0.35">
      <c r="A109">
        <v>2097</v>
      </c>
    </row>
    <row r="110" spans="1:1" x14ac:dyDescent="0.35">
      <c r="A110">
        <v>2098</v>
      </c>
    </row>
    <row r="111" spans="1:1" x14ac:dyDescent="0.35">
      <c r="A111">
        <v>2099</v>
      </c>
    </row>
    <row r="112" spans="1:1" x14ac:dyDescent="0.35">
      <c r="A112">
        <v>2100</v>
      </c>
    </row>
  </sheetData>
  <phoneticPr fontId="7" type="noConversion"/>
  <hyperlinks>
    <hyperlink ref="L33" r:id="rId1" display="https://doi.org/10.1016/j.resconrec.2023.107391" xr:uid="{C91B04C4-6F06-46FC-95C3-9BE3E8D63B79}"/>
    <hyperlink ref="D27" r:id="rId2" display="https://doi.org/10.1016/j.resconrec.2023.107391" xr:uid="{46E41433-83E9-41D0-81BF-194345B4E180}"/>
    <hyperlink ref="D28" r:id="rId3" display="https://doi.org/10.1016/j.resconrec.2023.107391" xr:uid="{834D0FB7-3EFD-43D3-9B68-EB35F321DE1A}"/>
    <hyperlink ref="M37" r:id="rId4" xr:uid="{7B120840-CD9C-400D-9838-2232DE72681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B5FD-02A7-4220-AE14-32AAECAEAC50}">
  <dimension ref="A1:J30"/>
  <sheetViews>
    <sheetView zoomScale="80" zoomScaleNormal="80" workbookViewId="0">
      <selection activeCell="B20" sqref="B20:B30"/>
    </sheetView>
  </sheetViews>
  <sheetFormatPr defaultRowHeight="14.5" x14ac:dyDescent="0.35"/>
  <cols>
    <col min="2" max="2" width="10.81640625" customWidth="1"/>
    <col min="3" max="3" width="12" customWidth="1"/>
    <col min="4" max="4" width="9.36328125" customWidth="1"/>
    <col min="5" max="5" width="14.7265625" customWidth="1"/>
    <col min="6" max="6" width="11.26953125" customWidth="1"/>
    <col min="7" max="7" width="5.08984375" bestFit="1" customWidth="1"/>
    <col min="8" max="8" width="6.08984375" bestFit="1" customWidth="1"/>
  </cols>
  <sheetData>
    <row r="1" spans="1:10" x14ac:dyDescent="0.35">
      <c r="A1" t="s">
        <v>60</v>
      </c>
      <c r="B1" t="s">
        <v>59</v>
      </c>
    </row>
    <row r="2" spans="1:10" x14ac:dyDescent="0.35">
      <c r="B2" s="17" t="s">
        <v>68</v>
      </c>
      <c r="C2" s="17"/>
      <c r="D2" s="17"/>
      <c r="E2" s="17"/>
    </row>
    <row r="3" spans="1:10" x14ac:dyDescent="0.35">
      <c r="B3" t="s">
        <v>54</v>
      </c>
      <c r="C3" t="s">
        <v>55</v>
      </c>
      <c r="D3" t="s">
        <v>56</v>
      </c>
      <c r="E3" t="s">
        <v>58</v>
      </c>
      <c r="F3" t="s">
        <v>54</v>
      </c>
      <c r="G3" s="24" t="s">
        <v>55</v>
      </c>
      <c r="H3" t="s">
        <v>56</v>
      </c>
      <c r="J3" t="s">
        <v>90</v>
      </c>
    </row>
    <row r="4" spans="1:10" x14ac:dyDescent="0.35">
      <c r="A4">
        <v>2018</v>
      </c>
      <c r="B4">
        <v>0.4</v>
      </c>
      <c r="C4">
        <v>0</v>
      </c>
      <c r="D4">
        <v>15.7</v>
      </c>
      <c r="E4">
        <f>SUM(B4:D4)</f>
        <v>16.099999999999998</v>
      </c>
      <c r="F4" s="5">
        <f>B4/$E4</f>
        <v>2.4844720496894415E-2</v>
      </c>
      <c r="G4" s="25">
        <f t="shared" ref="G4:H4" si="0">C4/$E4</f>
        <v>0</v>
      </c>
      <c r="H4" s="6">
        <f t="shared" si="0"/>
        <v>0.97515527950310565</v>
      </c>
    </row>
    <row r="5" spans="1:10" x14ac:dyDescent="0.35">
      <c r="A5">
        <v>2019</v>
      </c>
      <c r="B5">
        <v>0.6</v>
      </c>
      <c r="C5">
        <v>0.01</v>
      </c>
      <c r="D5">
        <v>16.5</v>
      </c>
      <c r="E5">
        <f t="shared" ref="E5:E14" si="1">SUM(B5:D5)</f>
        <v>17.11</v>
      </c>
      <c r="F5" s="7">
        <f t="shared" ref="F5:F14" si="2">B5/$E5</f>
        <v>3.5067212156633547E-2</v>
      </c>
      <c r="G5" s="26">
        <f t="shared" ref="G5:G14" si="3">C5/$E5</f>
        <v>5.8445353594389253E-4</v>
      </c>
      <c r="H5" s="8">
        <f t="shared" ref="H5:H14" si="4">D5/$E5</f>
        <v>0.96434833430742262</v>
      </c>
    </row>
    <row r="6" spans="1:10" x14ac:dyDescent="0.35">
      <c r="A6">
        <v>2020</v>
      </c>
      <c r="B6">
        <v>0.7</v>
      </c>
      <c r="C6">
        <v>0.02</v>
      </c>
      <c r="D6">
        <v>16.5</v>
      </c>
      <c r="E6">
        <f t="shared" si="1"/>
        <v>17.22</v>
      </c>
      <c r="F6" s="7">
        <f t="shared" si="2"/>
        <v>4.065040650406504E-2</v>
      </c>
      <c r="G6" s="26">
        <f t="shared" si="3"/>
        <v>1.1614401858304297E-3</v>
      </c>
      <c r="H6" s="8">
        <f t="shared" si="4"/>
        <v>0.95818815331010454</v>
      </c>
    </row>
    <row r="7" spans="1:10" x14ac:dyDescent="0.35">
      <c r="A7">
        <v>2021</v>
      </c>
      <c r="B7">
        <v>1.2</v>
      </c>
      <c r="C7">
        <v>0.1</v>
      </c>
      <c r="D7">
        <v>18.100000000000001</v>
      </c>
      <c r="E7">
        <f t="shared" si="1"/>
        <v>19.400000000000002</v>
      </c>
      <c r="F7" s="7">
        <f t="shared" si="2"/>
        <v>6.1855670103092772E-2</v>
      </c>
      <c r="G7" s="26">
        <f t="shared" si="3"/>
        <v>5.1546391752577319E-3</v>
      </c>
      <c r="H7" s="8">
        <f t="shared" si="4"/>
        <v>0.9329896907216495</v>
      </c>
    </row>
    <row r="8" spans="1:10" x14ac:dyDescent="0.35">
      <c r="A8">
        <v>2022</v>
      </c>
      <c r="B8">
        <v>1.9</v>
      </c>
      <c r="C8">
        <v>0.1</v>
      </c>
      <c r="D8">
        <v>19.3</v>
      </c>
      <c r="E8">
        <f t="shared" si="1"/>
        <v>21.3</v>
      </c>
      <c r="F8" s="7">
        <f t="shared" si="2"/>
        <v>8.9201877934272297E-2</v>
      </c>
      <c r="G8" s="26">
        <f t="shared" si="3"/>
        <v>4.6948356807511738E-3</v>
      </c>
      <c r="H8" s="8">
        <f t="shared" si="4"/>
        <v>0.9061032863849765</v>
      </c>
    </row>
    <row r="9" spans="1:10" x14ac:dyDescent="0.35">
      <c r="A9">
        <v>2023</v>
      </c>
      <c r="B9">
        <v>2.9</v>
      </c>
      <c r="C9">
        <v>0.1</v>
      </c>
      <c r="D9">
        <v>20</v>
      </c>
      <c r="E9">
        <f t="shared" si="1"/>
        <v>23</v>
      </c>
      <c r="F9" s="7">
        <f t="shared" si="2"/>
        <v>0.12608695652173912</v>
      </c>
      <c r="G9" s="26">
        <f t="shared" si="3"/>
        <v>4.3478260869565218E-3</v>
      </c>
      <c r="H9" s="8">
        <f t="shared" si="4"/>
        <v>0.86956521739130432</v>
      </c>
    </row>
    <row r="10" spans="1:10" x14ac:dyDescent="0.35">
      <c r="A10">
        <v>2024</v>
      </c>
      <c r="B10">
        <v>4</v>
      </c>
      <c r="C10">
        <v>0.2</v>
      </c>
      <c r="D10">
        <v>21</v>
      </c>
      <c r="E10">
        <f t="shared" si="1"/>
        <v>25.2</v>
      </c>
      <c r="F10" s="7">
        <f t="shared" si="2"/>
        <v>0.15873015873015872</v>
      </c>
      <c r="G10" s="26">
        <f t="shared" si="3"/>
        <v>7.9365079365079378E-3</v>
      </c>
      <c r="H10" s="8">
        <f t="shared" si="4"/>
        <v>0.83333333333333337</v>
      </c>
    </row>
    <row r="11" spans="1:10" x14ac:dyDescent="0.35">
      <c r="A11">
        <v>2025</v>
      </c>
      <c r="B11">
        <v>5.2</v>
      </c>
      <c r="C11">
        <v>0.3</v>
      </c>
      <c r="D11">
        <v>22</v>
      </c>
      <c r="E11">
        <f t="shared" si="1"/>
        <v>27.5</v>
      </c>
      <c r="F11" s="7">
        <f t="shared" si="2"/>
        <v>0.18909090909090909</v>
      </c>
      <c r="G11" s="26">
        <f t="shared" si="3"/>
        <v>1.0909090909090908E-2</v>
      </c>
      <c r="H11" s="8">
        <f t="shared" si="4"/>
        <v>0.8</v>
      </c>
    </row>
    <row r="12" spans="1:10" x14ac:dyDescent="0.35">
      <c r="A12">
        <v>2026</v>
      </c>
      <c r="B12">
        <v>6.4</v>
      </c>
      <c r="C12">
        <v>0.5</v>
      </c>
      <c r="D12">
        <v>23</v>
      </c>
      <c r="E12">
        <f t="shared" si="1"/>
        <v>29.9</v>
      </c>
      <c r="F12" s="7">
        <f t="shared" si="2"/>
        <v>0.21404682274247494</v>
      </c>
      <c r="G12" s="26">
        <f t="shared" si="3"/>
        <v>1.6722408026755852E-2</v>
      </c>
      <c r="H12" s="8">
        <f t="shared" si="4"/>
        <v>0.76923076923076927</v>
      </c>
    </row>
    <row r="13" spans="1:10" x14ac:dyDescent="0.35">
      <c r="A13">
        <v>2027</v>
      </c>
      <c r="B13">
        <v>7.8</v>
      </c>
      <c r="C13">
        <v>0.7</v>
      </c>
      <c r="D13">
        <v>23.7</v>
      </c>
      <c r="E13">
        <f t="shared" si="1"/>
        <v>32.200000000000003</v>
      </c>
      <c r="F13" s="7">
        <f t="shared" si="2"/>
        <v>0.24223602484472048</v>
      </c>
      <c r="G13" s="26">
        <f t="shared" si="3"/>
        <v>2.1739130434782605E-2</v>
      </c>
      <c r="H13" s="8">
        <f t="shared" si="4"/>
        <v>0.73602484472049678</v>
      </c>
    </row>
    <row r="14" spans="1:10" x14ac:dyDescent="0.35">
      <c r="A14">
        <v>2028</v>
      </c>
      <c r="B14">
        <v>9.4</v>
      </c>
      <c r="C14">
        <v>1</v>
      </c>
      <c r="D14">
        <v>24</v>
      </c>
      <c r="E14">
        <f t="shared" si="1"/>
        <v>34.4</v>
      </c>
      <c r="F14" s="9">
        <f t="shared" si="2"/>
        <v>0.27325581395348841</v>
      </c>
      <c r="G14" s="27">
        <f t="shared" si="3"/>
        <v>2.9069767441860465E-2</v>
      </c>
      <c r="H14" s="10">
        <f t="shared" si="4"/>
        <v>0.69767441860465118</v>
      </c>
    </row>
    <row r="15" spans="1:10" x14ac:dyDescent="0.35">
      <c r="C15" t="s">
        <v>57</v>
      </c>
    </row>
    <row r="17" spans="1:6" x14ac:dyDescent="0.35">
      <c r="A17" t="s">
        <v>65</v>
      </c>
      <c r="B17" t="s">
        <v>61</v>
      </c>
    </row>
    <row r="18" spans="1:6" x14ac:dyDescent="0.35">
      <c r="B18" s="17" t="s">
        <v>62</v>
      </c>
      <c r="C18" s="17"/>
      <c r="D18" t="s">
        <v>64</v>
      </c>
    </row>
    <row r="19" spans="1:6" x14ac:dyDescent="0.35">
      <c r="B19" t="s">
        <v>70</v>
      </c>
      <c r="C19" s="11" t="s">
        <v>69</v>
      </c>
      <c r="D19" t="s">
        <v>63</v>
      </c>
      <c r="E19" s="11" t="s">
        <v>66</v>
      </c>
      <c r="F19" t="s">
        <v>67</v>
      </c>
    </row>
    <row r="20" spans="1:6" x14ac:dyDescent="0.35">
      <c r="A20">
        <v>2018</v>
      </c>
      <c r="B20" s="28">
        <f>C20/F20</f>
        <v>3.1809145129224651E-5</v>
      </c>
      <c r="C20" s="11">
        <v>0.4</v>
      </c>
      <c r="D20">
        <v>4</v>
      </c>
      <c r="E20" s="11">
        <v>170</v>
      </c>
      <c r="F20">
        <v>12575</v>
      </c>
    </row>
    <row r="21" spans="1:6" x14ac:dyDescent="0.35">
      <c r="A21">
        <v>2019</v>
      </c>
      <c r="B21" s="28">
        <f t="shared" ref="B21:B30" si="5">C21/F21</f>
        <v>3.0434451799436964E-5</v>
      </c>
      <c r="C21" s="11">
        <v>0.4</v>
      </c>
      <c r="D21">
        <v>9</v>
      </c>
      <c r="E21" s="11">
        <v>209</v>
      </c>
      <c r="F21">
        <v>13143</v>
      </c>
    </row>
    <row r="22" spans="1:6" x14ac:dyDescent="0.35">
      <c r="A22">
        <v>2020</v>
      </c>
      <c r="B22" s="28">
        <f t="shared" si="5"/>
        <v>5.4192149880003095E-5</v>
      </c>
      <c r="C22" s="11">
        <v>0.7</v>
      </c>
      <c r="D22">
        <v>24</v>
      </c>
      <c r="E22" s="11">
        <v>212</v>
      </c>
      <c r="F22">
        <v>12917</v>
      </c>
    </row>
    <row r="23" spans="1:6" x14ac:dyDescent="0.35">
      <c r="A23">
        <v>2021</v>
      </c>
      <c r="B23" s="28">
        <f t="shared" si="5"/>
        <v>8.058017727639001E-5</v>
      </c>
      <c r="C23" s="11">
        <v>1.1000000000000001</v>
      </c>
      <c r="D23">
        <v>66</v>
      </c>
      <c r="E23" s="11">
        <v>288</v>
      </c>
      <c r="F23">
        <v>13651</v>
      </c>
    </row>
    <row r="24" spans="1:6" x14ac:dyDescent="0.35">
      <c r="A24">
        <v>2022</v>
      </c>
      <c r="B24" s="28">
        <f t="shared" si="5"/>
        <v>1.9553072625698323E-4</v>
      </c>
      <c r="C24" s="11">
        <v>2.8</v>
      </c>
      <c r="D24">
        <v>93</v>
      </c>
      <c r="E24" s="11">
        <v>409</v>
      </c>
      <c r="F24">
        <v>14320</v>
      </c>
    </row>
    <row r="25" spans="1:6" x14ac:dyDescent="0.35">
      <c r="A25">
        <v>2023</v>
      </c>
      <c r="B25" s="28">
        <f t="shared" si="5"/>
        <v>3.3690869086908695E-4</v>
      </c>
      <c r="C25" s="11">
        <v>4.9000000000000004</v>
      </c>
      <c r="D25">
        <v>148</v>
      </c>
      <c r="E25" s="11">
        <v>510</v>
      </c>
      <c r="F25">
        <v>14544</v>
      </c>
    </row>
    <row r="26" spans="1:6" x14ac:dyDescent="0.35">
      <c r="A26">
        <v>2024</v>
      </c>
      <c r="B26" s="28">
        <f t="shared" si="5"/>
        <v>4.8114948589506984E-4</v>
      </c>
      <c r="C26" s="11">
        <v>7.3</v>
      </c>
      <c r="D26">
        <v>183</v>
      </c>
      <c r="E26" s="11">
        <v>576</v>
      </c>
      <c r="F26">
        <v>15172</v>
      </c>
    </row>
    <row r="27" spans="1:6" x14ac:dyDescent="0.35">
      <c r="A27">
        <v>2025</v>
      </c>
      <c r="B27" s="28">
        <f t="shared" si="5"/>
        <v>6.5715358618099887E-4</v>
      </c>
      <c r="C27" s="11">
        <v>10.5</v>
      </c>
      <c r="D27">
        <v>295</v>
      </c>
      <c r="E27" s="11">
        <v>626</v>
      </c>
      <c r="F27">
        <v>15978</v>
      </c>
    </row>
    <row r="28" spans="1:6" x14ac:dyDescent="0.35">
      <c r="A28">
        <v>2026</v>
      </c>
      <c r="B28" s="28">
        <f t="shared" si="5"/>
        <v>9.1846409101682864E-4</v>
      </c>
      <c r="C28" s="11">
        <v>15.5</v>
      </c>
      <c r="D28">
        <v>482</v>
      </c>
      <c r="E28" s="11">
        <v>675</v>
      </c>
      <c r="F28">
        <v>16876</v>
      </c>
    </row>
    <row r="29" spans="1:6" x14ac:dyDescent="0.35">
      <c r="A29">
        <v>2027</v>
      </c>
      <c r="B29" s="28">
        <f t="shared" si="5"/>
        <v>1.028306683993446E-3</v>
      </c>
      <c r="C29" s="11">
        <v>18.2</v>
      </c>
      <c r="D29">
        <v>691</v>
      </c>
      <c r="E29" s="11">
        <v>721</v>
      </c>
      <c r="F29">
        <v>17699</v>
      </c>
    </row>
    <row r="30" spans="1:6" x14ac:dyDescent="0.35">
      <c r="A30">
        <v>2028</v>
      </c>
      <c r="B30" s="28">
        <f t="shared" si="5"/>
        <v>1.1831442463533224E-3</v>
      </c>
      <c r="C30" s="11">
        <v>21.9</v>
      </c>
      <c r="D30">
        <v>991</v>
      </c>
      <c r="E30" s="11">
        <v>759</v>
      </c>
      <c r="F30">
        <v>18510</v>
      </c>
    </row>
  </sheetData>
  <mergeCells count="2">
    <mergeCell ref="B2:E2"/>
    <mergeCell ref="B18:C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308E-7B61-42DF-B4D3-D4FC1F1DABBA}">
  <dimension ref="A1:W17"/>
  <sheetViews>
    <sheetView workbookViewId="0">
      <selection activeCell="G12" sqref="G12"/>
    </sheetView>
  </sheetViews>
  <sheetFormatPr defaultRowHeight="14.5" x14ac:dyDescent="0.35"/>
  <sheetData>
    <row r="1" spans="1:23" ht="17.5" x14ac:dyDescent="0.45">
      <c r="B1" t="s">
        <v>19</v>
      </c>
      <c r="F1" t="s">
        <v>36</v>
      </c>
      <c r="J1" t="s">
        <v>40</v>
      </c>
      <c r="N1" t="s">
        <v>46</v>
      </c>
      <c r="R1" t="s">
        <v>48</v>
      </c>
      <c r="V1" t="s">
        <v>49</v>
      </c>
    </row>
    <row r="2" spans="1:23" x14ac:dyDescent="0.35">
      <c r="A2" t="s">
        <v>20</v>
      </c>
      <c r="B2" t="s">
        <v>21</v>
      </c>
      <c r="C2" t="s">
        <v>22</v>
      </c>
      <c r="E2" t="s">
        <v>20</v>
      </c>
      <c r="F2" t="s">
        <v>21</v>
      </c>
      <c r="G2" t="s">
        <v>22</v>
      </c>
      <c r="I2" t="s">
        <v>20</v>
      </c>
      <c r="J2" t="s">
        <v>21</v>
      </c>
      <c r="K2" t="s">
        <v>22</v>
      </c>
      <c r="M2" t="s">
        <v>20</v>
      </c>
      <c r="N2" t="s">
        <v>21</v>
      </c>
      <c r="O2" t="s">
        <v>22</v>
      </c>
      <c r="Q2" t="s">
        <v>20</v>
      </c>
      <c r="R2" t="s">
        <v>21</v>
      </c>
      <c r="S2" t="s">
        <v>22</v>
      </c>
      <c r="U2" t="s">
        <v>20</v>
      </c>
      <c r="V2" t="s">
        <v>21</v>
      </c>
      <c r="W2" t="s">
        <v>22</v>
      </c>
    </row>
    <row r="3" spans="1:23" x14ac:dyDescent="0.35">
      <c r="A3">
        <v>1</v>
      </c>
      <c r="B3" t="s">
        <v>23</v>
      </c>
      <c r="C3">
        <v>0.30393992465576336</v>
      </c>
      <c r="E3">
        <v>1</v>
      </c>
      <c r="F3" t="s">
        <v>28</v>
      </c>
      <c r="G3">
        <v>0.90542979856308781</v>
      </c>
      <c r="I3">
        <v>1</v>
      </c>
      <c r="J3" t="s">
        <v>41</v>
      </c>
      <c r="K3">
        <v>0.56331411719800495</v>
      </c>
      <c r="M3">
        <v>1</v>
      </c>
      <c r="N3" t="s">
        <v>30</v>
      </c>
      <c r="O3">
        <v>0.31924702365464647</v>
      </c>
      <c r="Q3">
        <v>1</v>
      </c>
      <c r="R3" t="s">
        <v>23</v>
      </c>
      <c r="S3">
        <v>0.36234318344008598</v>
      </c>
      <c r="U3">
        <v>1</v>
      </c>
      <c r="V3" t="s">
        <v>41</v>
      </c>
      <c r="W3">
        <v>0.91452134589285305</v>
      </c>
    </row>
    <row r="4" spans="1:23" x14ac:dyDescent="0.35">
      <c r="A4">
        <v>2</v>
      </c>
      <c r="B4" t="s">
        <v>24</v>
      </c>
      <c r="C4">
        <v>0.18852060065724716</v>
      </c>
      <c r="E4">
        <v>2</v>
      </c>
      <c r="F4" t="s">
        <v>37</v>
      </c>
      <c r="G4">
        <v>4.1520674290600239E-2</v>
      </c>
      <c r="I4">
        <v>2</v>
      </c>
      <c r="J4" t="s">
        <v>27</v>
      </c>
      <c r="K4">
        <v>0.11678568072225042</v>
      </c>
      <c r="M4">
        <v>2</v>
      </c>
      <c r="N4" t="s">
        <v>27</v>
      </c>
      <c r="O4">
        <v>0.23689856627905867</v>
      </c>
      <c r="Q4">
        <v>2</v>
      </c>
      <c r="R4" t="s">
        <v>24</v>
      </c>
      <c r="S4">
        <v>0.24172749055100812</v>
      </c>
      <c r="U4">
        <v>2</v>
      </c>
      <c r="V4" t="s">
        <v>43</v>
      </c>
      <c r="W4">
        <v>4.8863343914320068E-2</v>
      </c>
    </row>
    <row r="5" spans="1:23" x14ac:dyDescent="0.35">
      <c r="A5">
        <v>3</v>
      </c>
      <c r="B5" t="s">
        <v>25</v>
      </c>
      <c r="C5">
        <v>0.11614030403526776</v>
      </c>
      <c r="E5">
        <v>3</v>
      </c>
      <c r="F5" t="s">
        <v>38</v>
      </c>
      <c r="G5">
        <v>3.0331786784455011E-2</v>
      </c>
      <c r="I5">
        <v>3</v>
      </c>
      <c r="J5" t="s">
        <v>42</v>
      </c>
      <c r="K5">
        <v>0.10788002212338918</v>
      </c>
      <c r="M5">
        <v>3</v>
      </c>
      <c r="N5" t="s">
        <v>23</v>
      </c>
      <c r="O5">
        <v>0.21584267751001046</v>
      </c>
      <c r="Q5">
        <v>3</v>
      </c>
      <c r="R5" t="s">
        <v>25</v>
      </c>
      <c r="S5">
        <v>0.1489190260820292</v>
      </c>
      <c r="U5">
        <v>3</v>
      </c>
      <c r="V5" t="s">
        <v>50</v>
      </c>
      <c r="W5">
        <v>2.0395134851194461E-2</v>
      </c>
    </row>
    <row r="6" spans="1:23" x14ac:dyDescent="0.35">
      <c r="A6">
        <v>4</v>
      </c>
      <c r="B6" t="s">
        <v>26</v>
      </c>
      <c r="C6">
        <v>0.10523141119195512</v>
      </c>
      <c r="E6">
        <v>4</v>
      </c>
      <c r="F6" t="s">
        <v>39</v>
      </c>
      <c r="G6">
        <v>2.2717740361856986E-2</v>
      </c>
      <c r="I6">
        <v>4</v>
      </c>
      <c r="J6" t="s">
        <v>43</v>
      </c>
      <c r="K6">
        <v>9.7508823924634447E-2</v>
      </c>
      <c r="M6">
        <v>4</v>
      </c>
      <c r="N6" t="s">
        <v>41</v>
      </c>
      <c r="O6">
        <v>0.10328875184219956</v>
      </c>
      <c r="Q6">
        <v>4</v>
      </c>
      <c r="R6" t="s">
        <v>26</v>
      </c>
      <c r="S6">
        <v>0.13493127470361002</v>
      </c>
      <c r="U6" t="s">
        <v>33</v>
      </c>
      <c r="V6" t="s">
        <v>33</v>
      </c>
      <c r="W6" t="s">
        <v>33</v>
      </c>
    </row>
    <row r="7" spans="1:23" x14ac:dyDescent="0.35">
      <c r="A7">
        <v>5</v>
      </c>
      <c r="B7" t="s">
        <v>27</v>
      </c>
      <c r="C7">
        <v>7.2380296621979381E-2</v>
      </c>
      <c r="E7" t="s">
        <v>33</v>
      </c>
      <c r="F7" t="s">
        <v>33</v>
      </c>
      <c r="G7" t="s">
        <v>33</v>
      </c>
      <c r="I7">
        <v>5</v>
      </c>
      <c r="J7" t="s">
        <v>44</v>
      </c>
      <c r="K7">
        <v>8.3074750800168254E-2</v>
      </c>
      <c r="M7">
        <v>5</v>
      </c>
      <c r="N7" t="s">
        <v>42</v>
      </c>
      <c r="O7">
        <v>5.0258088334766339E-2</v>
      </c>
      <c r="Q7">
        <v>5</v>
      </c>
      <c r="R7" t="s">
        <v>27</v>
      </c>
      <c r="S7">
        <v>6.1163171426547702E-2</v>
      </c>
      <c r="U7" t="s">
        <v>33</v>
      </c>
      <c r="V7" t="s">
        <v>33</v>
      </c>
      <c r="W7" t="s">
        <v>33</v>
      </c>
    </row>
    <row r="8" spans="1:23" x14ac:dyDescent="0.35">
      <c r="A8">
        <v>6</v>
      </c>
      <c r="B8" t="s">
        <v>28</v>
      </c>
      <c r="C8">
        <v>6.3315982871402013E-2</v>
      </c>
      <c r="E8" t="s">
        <v>33</v>
      </c>
      <c r="F8" t="s">
        <v>33</v>
      </c>
      <c r="G8" t="s">
        <v>33</v>
      </c>
      <c r="I8">
        <v>6</v>
      </c>
      <c r="J8" t="s">
        <v>45</v>
      </c>
      <c r="K8">
        <v>3.1436605231552818E-2</v>
      </c>
      <c r="M8">
        <v>6</v>
      </c>
      <c r="N8" t="s">
        <v>47</v>
      </c>
      <c r="O8">
        <v>4.1308401327102409E-2</v>
      </c>
      <c r="Q8">
        <v>6</v>
      </c>
      <c r="R8" t="s">
        <v>31</v>
      </c>
      <c r="S8">
        <v>2.5438294849965772E-2</v>
      </c>
      <c r="U8" t="s">
        <v>33</v>
      </c>
      <c r="V8" t="s">
        <v>33</v>
      </c>
      <c r="W8" t="s">
        <v>33</v>
      </c>
    </row>
    <row r="9" spans="1:23" x14ac:dyDescent="0.35">
      <c r="A9">
        <v>7</v>
      </c>
      <c r="B9" t="s">
        <v>29</v>
      </c>
      <c r="C9">
        <v>5.3662117291731336E-2</v>
      </c>
      <c r="E9" t="s">
        <v>33</v>
      </c>
      <c r="F9" t="s">
        <v>33</v>
      </c>
      <c r="G9" t="s">
        <v>33</v>
      </c>
      <c r="I9" t="s">
        <v>33</v>
      </c>
      <c r="J9" t="s">
        <v>33</v>
      </c>
      <c r="K9" t="s">
        <v>33</v>
      </c>
      <c r="M9">
        <v>7</v>
      </c>
      <c r="N9" t="s">
        <v>45</v>
      </c>
      <c r="O9">
        <v>2.8239042857085037E-2</v>
      </c>
      <c r="Q9">
        <v>7</v>
      </c>
      <c r="R9" t="s">
        <v>32</v>
      </c>
      <c r="S9">
        <v>2.5263049067487095E-2</v>
      </c>
      <c r="U9" t="s">
        <v>33</v>
      </c>
      <c r="V9" t="s">
        <v>33</v>
      </c>
      <c r="W9" t="s">
        <v>33</v>
      </c>
    </row>
    <row r="10" spans="1:23" x14ac:dyDescent="0.35">
      <c r="A10">
        <v>8</v>
      </c>
      <c r="B10" t="s">
        <v>30</v>
      </c>
      <c r="C10">
        <v>3.1581866961590314E-2</v>
      </c>
      <c r="E10" t="s">
        <v>33</v>
      </c>
      <c r="F10" t="s">
        <v>33</v>
      </c>
      <c r="G10" t="s">
        <v>33</v>
      </c>
      <c r="I10" t="s">
        <v>33</v>
      </c>
      <c r="J10" t="s">
        <v>33</v>
      </c>
      <c r="K10" t="s">
        <v>33</v>
      </c>
      <c r="M10" t="s">
        <v>33</v>
      </c>
      <c r="N10" t="s">
        <v>33</v>
      </c>
      <c r="O10" t="s">
        <v>33</v>
      </c>
      <c r="Q10" t="s">
        <v>33</v>
      </c>
      <c r="R10" t="s">
        <v>33</v>
      </c>
      <c r="S10" t="s">
        <v>33</v>
      </c>
      <c r="U10" t="s">
        <v>33</v>
      </c>
      <c r="V10" t="s">
        <v>33</v>
      </c>
      <c r="W10" t="s">
        <v>33</v>
      </c>
    </row>
    <row r="11" spans="1:23" x14ac:dyDescent="0.35">
      <c r="A11">
        <v>9</v>
      </c>
      <c r="B11" t="s">
        <v>31</v>
      </c>
      <c r="C11">
        <v>1.983904525662443E-2</v>
      </c>
      <c r="E11" t="s">
        <v>33</v>
      </c>
      <c r="F11" t="s">
        <v>33</v>
      </c>
      <c r="G11" t="s">
        <v>33</v>
      </c>
      <c r="I11" t="s">
        <v>33</v>
      </c>
      <c r="J11" t="s">
        <v>33</v>
      </c>
      <c r="K11" t="s">
        <v>33</v>
      </c>
      <c r="M11" t="s">
        <v>33</v>
      </c>
      <c r="N11" t="s">
        <v>33</v>
      </c>
      <c r="O11" t="s">
        <v>33</v>
      </c>
      <c r="Q11" t="s">
        <v>33</v>
      </c>
      <c r="R11" t="s">
        <v>33</v>
      </c>
      <c r="S11" t="s">
        <v>33</v>
      </c>
      <c r="U11" t="s">
        <v>33</v>
      </c>
      <c r="V11" t="s">
        <v>33</v>
      </c>
      <c r="W11" t="s">
        <v>33</v>
      </c>
    </row>
    <row r="12" spans="1:23" x14ac:dyDescent="0.35">
      <c r="A12">
        <v>10</v>
      </c>
      <c r="B12" t="s">
        <v>32</v>
      </c>
      <c r="C12">
        <v>1.9702373005982925E-2</v>
      </c>
      <c r="E12" t="s">
        <v>33</v>
      </c>
      <c r="F12" t="s">
        <v>33</v>
      </c>
      <c r="G12" t="s">
        <v>33</v>
      </c>
      <c r="I12" t="s">
        <v>33</v>
      </c>
      <c r="J12" t="s">
        <v>33</v>
      </c>
      <c r="K12" t="s">
        <v>33</v>
      </c>
      <c r="M12" t="s">
        <v>33</v>
      </c>
      <c r="N12" t="s">
        <v>33</v>
      </c>
      <c r="O12" t="s">
        <v>33</v>
      </c>
      <c r="Q12" t="s">
        <v>33</v>
      </c>
      <c r="R12" t="s">
        <v>33</v>
      </c>
      <c r="S12" t="s">
        <v>33</v>
      </c>
      <c r="U12" t="s">
        <v>33</v>
      </c>
      <c r="V12" t="s">
        <v>33</v>
      </c>
      <c r="W12" t="s">
        <v>33</v>
      </c>
    </row>
    <row r="13" spans="1:23" x14ac:dyDescent="0.35">
      <c r="A13" t="s">
        <v>33</v>
      </c>
      <c r="B13" t="s">
        <v>33</v>
      </c>
      <c r="C13" t="s">
        <v>33</v>
      </c>
      <c r="E13" t="s">
        <v>33</v>
      </c>
      <c r="F13" t="s">
        <v>33</v>
      </c>
      <c r="G13" t="s">
        <v>33</v>
      </c>
      <c r="I13" t="s">
        <v>33</v>
      </c>
      <c r="J13" t="s">
        <v>33</v>
      </c>
      <c r="K13" t="s">
        <v>33</v>
      </c>
      <c r="M13" t="s">
        <v>33</v>
      </c>
      <c r="N13" t="s">
        <v>33</v>
      </c>
      <c r="O13" t="s">
        <v>33</v>
      </c>
      <c r="Q13" t="s">
        <v>33</v>
      </c>
      <c r="R13" t="s">
        <v>33</v>
      </c>
      <c r="S13" t="s">
        <v>33</v>
      </c>
      <c r="U13" t="s">
        <v>33</v>
      </c>
      <c r="V13" t="s">
        <v>33</v>
      </c>
      <c r="W13" t="s">
        <v>33</v>
      </c>
    </row>
    <row r="14" spans="1:23" x14ac:dyDescent="0.35">
      <c r="A14" t="s">
        <v>33</v>
      </c>
      <c r="B14" t="s">
        <v>33</v>
      </c>
      <c r="C14" t="s">
        <v>33</v>
      </c>
      <c r="E14" t="s">
        <v>33</v>
      </c>
      <c r="F14" t="s">
        <v>33</v>
      </c>
      <c r="G14" t="s">
        <v>33</v>
      </c>
      <c r="I14" t="s">
        <v>33</v>
      </c>
      <c r="J14" t="s">
        <v>33</v>
      </c>
      <c r="K14" t="s">
        <v>33</v>
      </c>
      <c r="M14" t="s">
        <v>33</v>
      </c>
      <c r="N14" t="s">
        <v>33</v>
      </c>
      <c r="O14" t="s">
        <v>33</v>
      </c>
      <c r="Q14" t="s">
        <v>33</v>
      </c>
      <c r="R14" t="s">
        <v>33</v>
      </c>
      <c r="S14" t="s">
        <v>33</v>
      </c>
      <c r="U14" t="s">
        <v>33</v>
      </c>
      <c r="V14" t="s">
        <v>33</v>
      </c>
      <c r="W14" t="s">
        <v>33</v>
      </c>
    </row>
    <row r="15" spans="1:23" x14ac:dyDescent="0.35">
      <c r="A15" t="s">
        <v>33</v>
      </c>
      <c r="B15" t="s">
        <v>33</v>
      </c>
      <c r="C15" t="s">
        <v>33</v>
      </c>
      <c r="E15" t="s">
        <v>33</v>
      </c>
      <c r="F15" t="s">
        <v>33</v>
      </c>
      <c r="G15" t="s">
        <v>33</v>
      </c>
      <c r="I15" t="s">
        <v>33</v>
      </c>
      <c r="J15" t="s">
        <v>33</v>
      </c>
      <c r="K15" t="s">
        <v>33</v>
      </c>
      <c r="M15" t="s">
        <v>33</v>
      </c>
      <c r="N15" t="s">
        <v>33</v>
      </c>
      <c r="O15" t="s">
        <v>33</v>
      </c>
      <c r="Q15" t="s">
        <v>33</v>
      </c>
      <c r="R15" t="s">
        <v>33</v>
      </c>
      <c r="S15" t="s">
        <v>33</v>
      </c>
      <c r="U15" t="s">
        <v>33</v>
      </c>
      <c r="V15" t="s">
        <v>33</v>
      </c>
      <c r="W15" t="s">
        <v>33</v>
      </c>
    </row>
    <row r="16" spans="1:23" x14ac:dyDescent="0.35">
      <c r="B16" t="s">
        <v>34</v>
      </c>
      <c r="C16">
        <v>2.5686077450456257E-2</v>
      </c>
      <c r="F16" t="s">
        <v>33</v>
      </c>
      <c r="G16" t="s">
        <v>33</v>
      </c>
      <c r="J16" t="s">
        <v>33</v>
      </c>
      <c r="K16" t="s">
        <v>33</v>
      </c>
      <c r="N16" t="s">
        <v>33</v>
      </c>
      <c r="O16" t="s">
        <v>33</v>
      </c>
      <c r="R16" t="s">
        <v>33</v>
      </c>
      <c r="S16" t="s">
        <v>33</v>
      </c>
      <c r="V16" t="s">
        <v>34</v>
      </c>
      <c r="W16">
        <v>1.6220175341632337E-2</v>
      </c>
    </row>
    <row r="17" spans="1:23" x14ac:dyDescent="0.35">
      <c r="A17" t="s">
        <v>35</v>
      </c>
      <c r="C17">
        <v>48217.54210579193</v>
      </c>
      <c r="E17" t="s">
        <v>35</v>
      </c>
      <c r="G17">
        <v>3371.8142200714274</v>
      </c>
      <c r="I17" t="s">
        <v>35</v>
      </c>
      <c r="K17">
        <v>470.9481475798874</v>
      </c>
      <c r="M17" t="s">
        <v>35</v>
      </c>
      <c r="O17">
        <v>4769.973992450834</v>
      </c>
      <c r="Q17" t="s">
        <v>35</v>
      </c>
      <c r="S17">
        <v>37604.328656536789</v>
      </c>
      <c r="U17" t="s">
        <v>35</v>
      </c>
      <c r="W17">
        <v>2000.4770891529802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D7978D1E43DE4EA43DBD7340A406DC" ma:contentTypeVersion="16" ma:contentTypeDescription="Create a new document." ma:contentTypeScope="" ma:versionID="1d2a0579b8367a5d14f15657bceede69">
  <xsd:schema xmlns:xsd="http://www.w3.org/2001/XMLSchema" xmlns:xs="http://www.w3.org/2001/XMLSchema" xmlns:p="http://schemas.microsoft.com/office/2006/metadata/properties" xmlns:ns2="d382aed9-cc96-421a-b6d1-bad087b40ea5" xmlns:ns3="3c3bb480-5c86-45a4-be90-daa3829a93c5" targetNamespace="http://schemas.microsoft.com/office/2006/metadata/properties" ma:root="true" ma:fieldsID="6184784662eaf13c68ab2ee7ade41035" ns2:_="" ns3:_="">
    <xsd:import namespace="d382aed9-cc96-421a-b6d1-bad087b40ea5"/>
    <xsd:import namespace="3c3bb480-5c86-45a4-be90-daa3829a93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ProcessName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82aed9-cc96-421a-b6d1-bad087b40e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7834da80-57da-4863-8816-2e6886d1e8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ProcessName" ma:index="21" nillable="true" ma:displayName="Process Name" ma:format="Dropdown" ma:internalName="ProcessName">
      <xsd:simpleType>
        <xsd:restriction base="dms:Text">
          <xsd:maxLength value="255"/>
        </xsd:restriction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c3bb480-5c86-45a4-be90-daa3829a93c5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3e120fb5-6737-4d21-bc5c-67a711e42345}" ma:internalName="TaxCatchAll" ma:showField="CatchAllData" ma:web="3c3bb480-5c86-45a4-be90-daa3829a93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ProcessName xmlns="d382aed9-cc96-421a-b6d1-bad087b40ea5" xsi:nil="true"/>
    <lcf76f155ced4ddcb4097134ff3c332f xmlns="d382aed9-cc96-421a-b6d1-bad087b40ea5">
      <Terms xmlns="http://schemas.microsoft.com/office/infopath/2007/PartnerControls"/>
    </lcf76f155ced4ddcb4097134ff3c332f>
    <TaxCatchAll xmlns="3c3bb480-5c86-45a4-be90-daa3829a93c5" xsi:nil="true"/>
  </documentManagement>
</p:properties>
</file>

<file path=customXml/itemProps1.xml><?xml version="1.0" encoding="utf-8"?>
<ds:datastoreItem xmlns:ds="http://schemas.openxmlformats.org/officeDocument/2006/customXml" ds:itemID="{3A8357D9-61C4-4864-BD66-2D2D973EC6D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82aed9-cc96-421a-b6d1-bad087b40ea5"/>
    <ds:schemaRef ds:uri="3c3bb480-5c86-45a4-be90-daa3829a93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15763B-BC3F-44A0-B84D-0D65F1925A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55CD45-2F25-4965-9590-C756C8D0B153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3c3bb480-5c86-45a4-be90-daa3829a93c5"/>
    <ds:schemaRef ds:uri="http://purl.org/dc/terms/"/>
    <ds:schemaRef ds:uri="d382aed9-cc96-421a-b6d1-bad087b40ea5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yole2023</vt:lpstr>
      <vt:lpstr>WoodMacInverterCompany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Mirletz, Heather</cp:lastModifiedBy>
  <cp:revision/>
  <dcterms:created xsi:type="dcterms:W3CDTF">2025-04-08T14:27:03Z</dcterms:created>
  <dcterms:modified xsi:type="dcterms:W3CDTF">2025-04-29T20:47:53Z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0x010100E1D7978D1E43DE4EA43DBD7340A406DC</vt:lpwstr>
  </property>
  <property fmtid="{D5CDD505-2E9C-101B-9397-08002B2CF9AE}" pid="3" name="MediaServiceImageTags">
    <vt:lpwstr/>
  </property>
</Properties>
</file>