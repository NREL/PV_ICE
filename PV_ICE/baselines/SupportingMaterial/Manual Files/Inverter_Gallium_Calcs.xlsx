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Manual Files\"/>
    </mc:Choice>
  </mc:AlternateContent>
  <xr:revisionPtr revIDLastSave="0" documentId="13_ncr:1_{88992C6D-401F-44DD-826C-B4DE42E15A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ths" sheetId="1" r:id="rId1"/>
    <sheet name="yole2023" sheetId="3" r:id="rId2"/>
    <sheet name="WoodMacInverterCompan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4" i="1"/>
  <c r="AG35" i="1"/>
  <c r="AG36" i="1"/>
  <c r="AG37" i="1"/>
  <c r="AG38" i="1"/>
  <c r="AG39" i="1"/>
  <c r="AG40" i="1"/>
  <c r="AG41" i="1"/>
  <c r="AG42" i="1"/>
  <c r="AG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AA32" i="1"/>
  <c r="Z32" i="1"/>
  <c r="Y32" i="1"/>
  <c r="AA1" i="1"/>
  <c r="Z1" i="1"/>
  <c r="Y1" i="1"/>
  <c r="J39" i="1"/>
  <c r="J38" i="1"/>
  <c r="J37" i="1"/>
  <c r="J36" i="1"/>
  <c r="AC37" i="1"/>
  <c r="AC30" i="1"/>
  <c r="AD30" i="1"/>
  <c r="AE30" i="1"/>
  <c r="AC31" i="1"/>
  <c r="AD31" i="1"/>
  <c r="AE31" i="1"/>
  <c r="AC32" i="1"/>
  <c r="AD32" i="1"/>
  <c r="AE32" i="1"/>
  <c r="AC33" i="1"/>
  <c r="AD33" i="1"/>
  <c r="AE33" i="1"/>
  <c r="AC34" i="1"/>
  <c r="AD34" i="1"/>
  <c r="AE34" i="1"/>
  <c r="AC35" i="1"/>
  <c r="AD35" i="1"/>
  <c r="AE35" i="1"/>
  <c r="AC36" i="1"/>
  <c r="AD36" i="1"/>
  <c r="AE36" i="1"/>
  <c r="AD37" i="1"/>
  <c r="AE37" i="1"/>
  <c r="AD29" i="1"/>
  <c r="AE29" i="1"/>
  <c r="AC29" i="1"/>
  <c r="V5" i="2"/>
  <c r="V6" i="2"/>
  <c r="V7" i="2"/>
  <c r="V8" i="2"/>
  <c r="V9" i="2"/>
  <c r="V10" i="2"/>
  <c r="V11" i="2"/>
  <c r="V12" i="2"/>
  <c r="V4" i="2"/>
  <c r="U5" i="2"/>
  <c r="U6" i="2"/>
  <c r="U7" i="2"/>
  <c r="U8" i="2"/>
  <c r="U9" i="2"/>
  <c r="U10" i="2"/>
  <c r="U11" i="2"/>
  <c r="U12" i="2"/>
  <c r="U4" i="2"/>
  <c r="T5" i="2"/>
  <c r="T6" i="2"/>
  <c r="T7" i="2"/>
  <c r="T8" i="2"/>
  <c r="T9" i="2"/>
  <c r="T10" i="2"/>
  <c r="T11" i="2"/>
  <c r="T12" i="2"/>
  <c r="T4" i="2"/>
  <c r="R5" i="2"/>
  <c r="R6" i="2"/>
  <c r="R7" i="2"/>
  <c r="R8" i="2"/>
  <c r="R9" i="2"/>
  <c r="R10" i="2"/>
  <c r="R11" i="2"/>
  <c r="R12" i="2"/>
  <c r="R4" i="2"/>
  <c r="M4" i="2"/>
  <c r="Q12" i="2"/>
  <c r="M5" i="2"/>
  <c r="N5" i="2"/>
  <c r="O5" i="2"/>
  <c r="P5" i="2"/>
  <c r="Q5" i="2"/>
  <c r="M6" i="2"/>
  <c r="N6" i="2"/>
  <c r="O6" i="2"/>
  <c r="P6" i="2"/>
  <c r="Q6" i="2"/>
  <c r="M7" i="2"/>
  <c r="N7" i="2"/>
  <c r="O7" i="2"/>
  <c r="P7" i="2"/>
  <c r="Q7" i="2"/>
  <c r="M8" i="2"/>
  <c r="N8" i="2"/>
  <c r="O8" i="2"/>
  <c r="P8" i="2"/>
  <c r="Q8" i="2"/>
  <c r="M9" i="2"/>
  <c r="N9" i="2"/>
  <c r="O9" i="2"/>
  <c r="P9" i="2"/>
  <c r="Q9" i="2"/>
  <c r="M10" i="2"/>
  <c r="N10" i="2"/>
  <c r="O10" i="2"/>
  <c r="P10" i="2"/>
  <c r="Q10" i="2"/>
  <c r="M11" i="2"/>
  <c r="N11" i="2"/>
  <c r="O11" i="2"/>
  <c r="P11" i="2"/>
  <c r="Q11" i="2"/>
  <c r="M12" i="2"/>
  <c r="N12" i="2"/>
  <c r="O12" i="2"/>
  <c r="P12" i="2"/>
  <c r="N4" i="2"/>
  <c r="O4" i="2"/>
  <c r="P4" i="2"/>
  <c r="Q4" i="2"/>
  <c r="Q2" i="2"/>
  <c r="O2" i="2"/>
  <c r="N2" i="2"/>
  <c r="M2" i="2"/>
  <c r="K5" i="2" l="1"/>
  <c r="J7" i="2"/>
  <c r="K8" i="2"/>
  <c r="I9" i="2"/>
  <c r="J9" i="2"/>
  <c r="K10" i="2"/>
  <c r="I12" i="2"/>
  <c r="J4" i="2"/>
  <c r="I4" i="2"/>
  <c r="F4" i="2"/>
  <c r="K4" i="2" s="1"/>
  <c r="E4" i="2"/>
  <c r="D4" i="2"/>
  <c r="C4" i="2"/>
  <c r="B4" i="2"/>
  <c r="F5" i="2"/>
  <c r="E5" i="2"/>
  <c r="D5" i="2"/>
  <c r="J5" i="2" s="1"/>
  <c r="C5" i="2"/>
  <c r="I5" i="2" s="1"/>
  <c r="B5" i="2"/>
  <c r="F6" i="2"/>
  <c r="K6" i="2" s="1"/>
  <c r="E6" i="2"/>
  <c r="D6" i="2"/>
  <c r="J6" i="2" s="1"/>
  <c r="C6" i="2"/>
  <c r="I6" i="2" s="1"/>
  <c r="B6" i="2"/>
  <c r="F7" i="2"/>
  <c r="K7" i="2" s="1"/>
  <c r="E7" i="2"/>
  <c r="D7" i="2"/>
  <c r="C7" i="2"/>
  <c r="I7" i="2" s="1"/>
  <c r="B7" i="2"/>
  <c r="G8" i="2"/>
  <c r="F8" i="2"/>
  <c r="E8" i="2"/>
  <c r="J8" i="2" s="1"/>
  <c r="D8" i="2"/>
  <c r="C8" i="2"/>
  <c r="I8" i="2" s="1"/>
  <c r="B8" i="2"/>
  <c r="G9" i="2"/>
  <c r="F9" i="2"/>
  <c r="K9" i="2" s="1"/>
  <c r="E9" i="2"/>
  <c r="D9" i="2"/>
  <c r="C9" i="2"/>
  <c r="B9" i="2"/>
  <c r="G10" i="2"/>
  <c r="F10" i="2"/>
  <c r="E10" i="2"/>
  <c r="D10" i="2"/>
  <c r="J10" i="2" s="1"/>
  <c r="C10" i="2"/>
  <c r="I10" i="2" s="1"/>
  <c r="B10" i="2"/>
  <c r="G11" i="2"/>
  <c r="F11" i="2"/>
  <c r="K11" i="2" s="1"/>
  <c r="E11" i="2"/>
  <c r="D11" i="2"/>
  <c r="J11" i="2" s="1"/>
  <c r="C11" i="2"/>
  <c r="I11" i="2" s="1"/>
  <c r="B11" i="2"/>
  <c r="G12" i="2"/>
  <c r="F12" i="2"/>
  <c r="K12" i="2" s="1"/>
  <c r="E12" i="2"/>
  <c r="D12" i="2"/>
  <c r="J12" i="2" s="1"/>
  <c r="C12" i="2"/>
  <c r="B12" i="2"/>
  <c r="B21" i="3" l="1"/>
  <c r="B22" i="3"/>
  <c r="B23" i="3"/>
  <c r="B24" i="3"/>
  <c r="B25" i="3"/>
  <c r="B26" i="3"/>
  <c r="B27" i="3"/>
  <c r="B28" i="3"/>
  <c r="B29" i="3"/>
  <c r="B30" i="3"/>
  <c r="B20" i="3"/>
  <c r="B39" i="1"/>
  <c r="G8" i="3"/>
  <c r="H8" i="3"/>
  <c r="H13" i="3"/>
  <c r="F14" i="3"/>
  <c r="E5" i="3"/>
  <c r="F5" i="3" s="1"/>
  <c r="E6" i="3"/>
  <c r="F6" i="3" s="1"/>
  <c r="E7" i="3"/>
  <c r="G7" i="3" s="1"/>
  <c r="E8" i="3"/>
  <c r="F8" i="3" s="1"/>
  <c r="E9" i="3"/>
  <c r="F9" i="3" s="1"/>
  <c r="E10" i="3"/>
  <c r="G10" i="3" s="1"/>
  <c r="E11" i="3"/>
  <c r="F11" i="3" s="1"/>
  <c r="E12" i="3"/>
  <c r="F12" i="3" s="1"/>
  <c r="E13" i="3"/>
  <c r="F13" i="3" s="1"/>
  <c r="E14" i="3"/>
  <c r="G14" i="3" s="1"/>
  <c r="E4" i="3"/>
  <c r="H4" i="3" s="1"/>
  <c r="B30" i="1"/>
  <c r="U32" i="1" l="1"/>
  <c r="W39" i="1"/>
  <c r="W41" i="1"/>
  <c r="W42" i="1"/>
  <c r="W33" i="1"/>
  <c r="W34" i="1"/>
  <c r="W38" i="1"/>
  <c r="W40" i="1"/>
  <c r="W32" i="1"/>
  <c r="W37" i="1"/>
  <c r="W35" i="1"/>
  <c r="W36" i="1"/>
  <c r="U33" i="1"/>
  <c r="V39" i="1"/>
  <c r="V38" i="1"/>
  <c r="V37" i="1"/>
  <c r="U38" i="1"/>
  <c r="V35" i="1"/>
  <c r="U39" i="1"/>
  <c r="U37" i="1"/>
  <c r="V34" i="1"/>
  <c r="U36" i="1"/>
  <c r="V36" i="1"/>
  <c r="U40" i="1"/>
  <c r="U35" i="1"/>
  <c r="V32" i="1"/>
  <c r="U42" i="1"/>
  <c r="V41" i="1"/>
  <c r="U34" i="1"/>
  <c r="V33" i="1"/>
  <c r="V42" i="1"/>
  <c r="U41" i="1"/>
  <c r="V40" i="1"/>
  <c r="G13" i="3"/>
  <c r="H12" i="3"/>
  <c r="G12" i="3"/>
  <c r="F10" i="3"/>
  <c r="H9" i="3"/>
  <c r="F4" i="3"/>
  <c r="G11" i="3"/>
  <c r="G4" i="3"/>
  <c r="F7" i="3"/>
  <c r="H14" i="3"/>
  <c r="H10" i="3"/>
  <c r="H6" i="3"/>
  <c r="H11" i="3"/>
  <c r="H7" i="3"/>
  <c r="G6" i="3"/>
  <c r="H5" i="3"/>
  <c r="G9" i="3"/>
  <c r="G5" i="3"/>
</calcChain>
</file>

<file path=xl/sharedStrings.xml><?xml version="1.0" encoding="utf-8"?>
<sst xmlns="http://schemas.openxmlformats.org/spreadsheetml/2006/main" count="863" uniqueCount="178">
  <si>
    <t>year</t>
  </si>
  <si>
    <t>Notes1</t>
  </si>
  <si>
    <t>Source1</t>
  </si>
  <si>
    <t>EPC GaN chips data sheets, avg'd, calculated for molar mass of Ga in GaN</t>
  </si>
  <si>
    <t>Chips per inverter [#/inverter type]</t>
  </si>
  <si>
    <t>Source2</t>
  </si>
  <si>
    <t>Notes2</t>
  </si>
  <si>
    <t>GaN FET/ 1.6kW microinverter</t>
  </si>
  <si>
    <t>GaN FET/ 3 Phase, 600,800,1000V inverter</t>
  </si>
  <si>
    <t>TI reference design</t>
  </si>
  <si>
    <t>Han, Zhongkui, Qiance Liu, Xin Ouyang, Huiling Song, Tianming Gao, Yanfei Liu, Bojie Wen, and Tao Dai. 2024. “Tracking Two Decades of Global Gallium Stocks and Flows: A Dynamic Material Flow Analysis.” Resources, Conservation and Recycling 202 (March):107391. https://doi.org/10.1016/j.resconrec.2023.107391.</t>
  </si>
  <si>
    <t>Table S7 says no integrated circuits go to PV applications??</t>
  </si>
  <si>
    <t>unit</t>
  </si>
  <si>
    <t>Ga in Chip</t>
  </si>
  <si>
    <t xml:space="preserve"> [mg/FET]</t>
  </si>
  <si>
    <t>g/cm^3</t>
  </si>
  <si>
    <t>Table S3, from Lovik 2016 * thickness of chip</t>
  </si>
  <si>
    <t>m thickness of chip</t>
  </si>
  <si>
    <t>Table S3, from Lovik 2016 * thickness of chip * lots of losses</t>
  </si>
  <si>
    <r>
      <t>United States total PV inverter 
market share 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</si>
  <si>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t>Ranking</t>
  </si>
  <si>
    <t>Company</t>
  </si>
  <si>
    <t>Market Share</t>
  </si>
  <si>
    <t>Sungrow*</t>
  </si>
  <si>
    <t>Power Electronics</t>
  </si>
  <si>
    <t>GE Vernova</t>
  </si>
  <si>
    <t>TMEIC</t>
  </si>
  <si>
    <t>SMA</t>
  </si>
  <si>
    <t>Enphase</t>
  </si>
  <si>
    <t>SolarEdge</t>
  </si>
  <si>
    <t>Chint Power Systems</t>
  </si>
  <si>
    <t>Ingeteam</t>
  </si>
  <si>
    <t>Gamesa</t>
  </si>
  <si>
    <t/>
  </si>
  <si>
    <t>All Others</t>
  </si>
  <si>
    <t>2023 PV inverter shipments (MWac)</t>
  </si>
  <si>
    <r>
      <t>US microinverter market share 
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</si>
  <si>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t>Hoymiles</t>
  </si>
  <si>
    <t>APsystems*</t>
  </si>
  <si>
    <t>NEP</t>
  </si>
  <si>
    <r>
      <t>US single-phase string inverter 
market share 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</si>
  <si>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t>SolarEdge*</t>
  </si>
  <si>
    <t>Ginlong Solis</t>
  </si>
  <si>
    <t>Growatt</t>
  </si>
  <si>
    <t>Fronius</t>
  </si>
  <si>
    <t>Fimer*</t>
  </si>
  <si>
    <r>
      <t>US three-phase string inverter 
market share 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</si>
  <si>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t>Yaskawa Solectria</t>
  </si>
  <si>
    <r>
      <t>US central inverter market share 
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</si>
  <si>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r>
      <t>US DC-coupled hybrid inverter 
market share (% of shipped MW</t>
    </r>
    <r>
      <rPr>
        <b/>
        <vertAlign val="subscript"/>
        <sz val="12"/>
        <color theme="0"/>
        <rFont val="Arial"/>
        <family val="2"/>
      </rPr>
      <t>ac</t>
    </r>
    <r>
      <rPr>
        <b/>
        <sz val="12"/>
        <color theme="0"/>
        <rFont val="Arial"/>
        <family val="2"/>
      </rPr>
      <t>)</t>
    </r>
  </si>
  <si>
    <t>GoodWe</t>
  </si>
  <si>
    <t>Source</t>
  </si>
  <si>
    <t>GaN market share</t>
  </si>
  <si>
    <t>Notes (vs Si or SiC)</t>
  </si>
  <si>
    <t>SiC</t>
  </si>
  <si>
    <t>GaN</t>
  </si>
  <si>
    <t>Silicon</t>
  </si>
  <si>
    <t>*keeps being used in power supply consumer applications</t>
  </si>
  <si>
    <t>Total Market value</t>
  </si>
  <si>
    <t>Power Electronics Market Revenue Value by material</t>
  </si>
  <si>
    <t>slide 56</t>
  </si>
  <si>
    <t>Discrete GaN HEMT market revenue forcast by application</t>
  </si>
  <si>
    <t>[$M]</t>
  </si>
  <si>
    <t>Total GaN HEMT market</t>
  </si>
  <si>
    <t>Total power electronics discrete market</t>
  </si>
  <si>
    <t>Slide 72-73</t>
  </si>
  <si>
    <t>PV power electronics market, all technologies</t>
  </si>
  <si>
    <t>Total Market revenue, all sectors</t>
  </si>
  <si>
    <t>[$M]?</t>
  </si>
  <si>
    <t>PV GaN HEMT</t>
  </si>
  <si>
    <t>% GaN in PV</t>
  </si>
  <si>
    <t>%</t>
  </si>
  <si>
    <t>Yole 2023 slide 72-3</t>
  </si>
  <si>
    <t>see yole 2023 sheet</t>
  </si>
  <si>
    <t>see google sheet for avg calc</t>
  </si>
  <si>
    <t>[g/FET]</t>
  </si>
  <si>
    <t>% GaN HEMT in PV application market</t>
  </si>
  <si>
    <t>Silvana counted 6 in the circuit diagram</t>
  </si>
  <si>
    <t>GaN FET/ 10 kW single phase with Battery</t>
  </si>
  <si>
    <t>*Heather will go back and inventory all the GaN TI ref designs adding # of phases and Voltage</t>
  </si>
  <si>
    <t>SELECTED AS REPRESENTATIVE DESIGN</t>
  </si>
  <si>
    <t>MICRO</t>
  </si>
  <si>
    <t>UTILITY</t>
  </si>
  <si>
    <t>STRING</t>
  </si>
  <si>
    <t># of Phases</t>
  </si>
  <si>
    <t>500 V</t>
  </si>
  <si>
    <t>600, 800, 1000 V</t>
  </si>
  <si>
    <t>Voltages [V]</t>
  </si>
  <si>
    <t>Inverter Description</t>
  </si>
  <si>
    <t>60 Vdc, 240 Vac</t>
  </si>
  <si>
    <t>*check for a material value</t>
  </si>
  <si>
    <t>Micro [g/inverter]</t>
  </si>
  <si>
    <t>String [g/inverter]</t>
  </si>
  <si>
    <t>Utility [g/inverter]</t>
  </si>
  <si>
    <t>https://www.ti.com/tool/TIDA-010949</t>
  </si>
  <si>
    <t>80 V</t>
  </si>
  <si>
    <t>600W solar power optimizer reference design based on GaN with wired and wireless communication</t>
  </si>
  <si>
    <t>TI reference design 010938</t>
  </si>
  <si>
    <t>TI reference design 010933</t>
  </si>
  <si>
    <t>US market shares by product type shipments full-year  2022</t>
  </si>
  <si>
    <t>* Estimate</t>
  </si>
  <si>
    <t>United States PV inverter market share by shipments (MWac)</t>
  </si>
  <si>
    <t>US MLPE Market Share by shipments (MWac)</t>
  </si>
  <si>
    <t>US Single-Phase String Market Share by shipments (MWac)</t>
  </si>
  <si>
    <t>US Three-Phase String Market Share by shipments (MWac)</t>
  </si>
  <si>
    <t>US Central inverter market share by shipments (MWac)</t>
  </si>
  <si>
    <t>US Storage Hybrid Market Share by shipments (MWac)</t>
  </si>
  <si>
    <t>Sungrow</t>
  </si>
  <si>
    <t>Enphase Energy</t>
  </si>
  <si>
    <t>SolarEdge Technologies</t>
  </si>
  <si>
    <t>Tigo</t>
  </si>
  <si>
    <t>Ampt</t>
  </si>
  <si>
    <t>General Electric</t>
  </si>
  <si>
    <t>Fimer</t>
  </si>
  <si>
    <t>2022 PV inverter shipments (MWac)</t>
  </si>
  <si>
    <t>US market shares by product type shipments full-year  2021</t>
  </si>
  <si>
    <t>SolarEdge Technologies*</t>
  </si>
  <si>
    <t>Ginlong Solis*</t>
  </si>
  <si>
    <t>2021 PV inverter shipments (MWac)</t>
  </si>
  <si>
    <t>US market shares by product type shipments full-year  2020</t>
  </si>
  <si>
    <t>Delta Energy Systems*</t>
  </si>
  <si>
    <t>SMA*</t>
  </si>
  <si>
    <t>APsystems</t>
  </si>
  <si>
    <t>Yaskawa-Solectria Solar</t>
  </si>
  <si>
    <t>Fronius*</t>
  </si>
  <si>
    <t>Kaco New Energy</t>
  </si>
  <si>
    <t>2020 PV inverter shipments (MWac)</t>
  </si>
  <si>
    <t>US market shares by product type shipments full-year  2019</t>
  </si>
  <si>
    <t>Delta*</t>
  </si>
  <si>
    <t>Tabuchi*</t>
  </si>
  <si>
    <t>KSTAR*</t>
  </si>
  <si>
    <t>Schneider*</t>
  </si>
  <si>
    <t>Huawei</t>
  </si>
  <si>
    <t>2019 PV inverter shipments (MWac)</t>
  </si>
  <si>
    <t>*Estimate</t>
  </si>
  <si>
    <t>ABB*</t>
  </si>
  <si>
    <t>KACO New Energy*</t>
  </si>
  <si>
    <t>General Electric*</t>
  </si>
  <si>
    <t>US market shares by product type shipments full-year  2018</t>
  </si>
  <si>
    <t>Sunpower</t>
  </si>
  <si>
    <t>APSystems</t>
  </si>
  <si>
    <t>Schneider Electric*</t>
  </si>
  <si>
    <t>2018 shipments (MWac)</t>
  </si>
  <si>
    <t>SunPower</t>
  </si>
  <si>
    <t>Ginlong-Solis</t>
  </si>
  <si>
    <t xml:space="preserve">US market shares by product type shipments 2017 </t>
  </si>
  <si>
    <t>2017 shipments (MWac)</t>
  </si>
  <si>
    <t>Tigo Energy*</t>
  </si>
  <si>
    <t xml:space="preserve">US market shares by product type shipments 2016 </t>
  </si>
  <si>
    <t>ABB</t>
  </si>
  <si>
    <t>Tigo Energy</t>
  </si>
  <si>
    <t>2016 shipments (MWac)</t>
  </si>
  <si>
    <t>US market shares by product type shipments 2015</t>
  </si>
  <si>
    <t>2015 shipments (MWac)</t>
  </si>
  <si>
    <t>Microinverter</t>
  </si>
  <si>
    <t>Single-phase String</t>
  </si>
  <si>
    <t>Three-phase String</t>
  </si>
  <si>
    <t>Central</t>
  </si>
  <si>
    <t>Hybrid</t>
  </si>
  <si>
    <t>Mwac</t>
  </si>
  <si>
    <t>Total PV inverter shipments</t>
  </si>
  <si>
    <t>String</t>
  </si>
  <si>
    <t>TI reference design 010949</t>
  </si>
  <si>
    <t>% (on power basis)</t>
  </si>
  <si>
    <t># of inverter units of each type</t>
  </si>
  <si>
    <t>AVG MW rating:</t>
  </si>
  <si>
    <t>TOTAL UNITS</t>
  </si>
  <si>
    <t>% (on unit basis)</t>
  </si>
  <si>
    <t>String Inverter Market Share (% by units)</t>
  </si>
  <si>
    <t>Central Inverter Market Share (% by units)</t>
  </si>
  <si>
    <t>Microinverter Market Share (% by units)</t>
  </si>
  <si>
    <t>Power Rating [MW]</t>
  </si>
  <si>
    <t>DC:AC</t>
  </si>
  <si>
    <t>Avg Power [MW]</t>
  </si>
  <si>
    <t>Marketshare Avg Ga for inverters [kg/MWac]</t>
  </si>
  <si>
    <t>Micro [kg/MWac]</t>
  </si>
  <si>
    <t>String [kg/MWac]</t>
  </si>
  <si>
    <t>Utility [kg/MWac]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</si>
</sst>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00000E+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Arial"/>
      <family val="2"/>
    </font>
    <font>
      <b/>
      <vertAlign val="subscript"/>
      <sz val="12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2" fillId="0" borderId="0" xfId="1" applyAlignment="1">
      <alignment horizontal="left" vertical="center" indent="2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9" fontId="0" fillId="0" borderId="2" xfId="3" applyFont="1" applyBorder="1"/>
    <xf numFmtId="9" fontId="0" fillId="0" borderId="3" xfId="3" applyFont="1" applyBorder="1"/>
    <xf numFmtId="9" fontId="0" fillId="0" borderId="4" xfId="3" applyFont="1" applyBorder="1"/>
    <xf numFmtId="9" fontId="0" fillId="0" borderId="5" xfId="3" applyFont="1" applyBorder="1"/>
    <xf numFmtId="9" fontId="0" fillId="0" borderId="6" xfId="3" applyFont="1" applyBorder="1"/>
    <xf numFmtId="9" fontId="0" fillId="0" borderId="8" xfId="3" applyFont="1" applyBorder="1"/>
    <xf numFmtId="0" fontId="1" fillId="0" borderId="0" xfId="0" applyFont="1"/>
    <xf numFmtId="0" fontId="8" fillId="0" borderId="0" xfId="0" applyFont="1"/>
    <xf numFmtId="0" fontId="9" fillId="0" borderId="0" xfId="1" applyFont="1" applyAlignment="1">
      <alignment horizontal="left" vertical="center" indent="2"/>
    </xf>
    <xf numFmtId="10" fontId="0" fillId="0" borderId="0" xfId="3" applyNumberFormat="1" applyFont="1"/>
    <xf numFmtId="10" fontId="0" fillId="0" borderId="1" xfId="3" applyNumberFormat="1" applyFont="1" applyBorder="1"/>
    <xf numFmtId="10" fontId="0" fillId="0" borderId="0" xfId="0" applyNumberFormat="1"/>
    <xf numFmtId="0" fontId="10" fillId="0" borderId="1" xfId="0" applyFont="1" applyBorder="1"/>
    <xf numFmtId="0" fontId="10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164" fontId="0" fillId="2" borderId="1" xfId="3" applyNumberFormat="1" applyFont="1" applyFill="1" applyBorder="1"/>
    <xf numFmtId="164" fontId="0" fillId="2" borderId="0" xfId="3" applyNumberFormat="1" applyFont="1" applyFill="1" applyBorder="1"/>
    <xf numFmtId="164" fontId="0" fillId="2" borderId="7" xfId="3" applyNumberFormat="1" applyFont="1" applyFill="1" applyBorder="1"/>
    <xf numFmtId="165" fontId="0" fillId="2" borderId="0" xfId="3" applyNumberFormat="1" applyFont="1" applyFill="1"/>
    <xf numFmtId="166" fontId="0" fillId="0" borderId="0" xfId="0" applyNumberFormat="1"/>
    <xf numFmtId="0" fontId="2" fillId="0" borderId="1" xfId="1" applyBorder="1"/>
    <xf numFmtId="0" fontId="0" fillId="0" borderId="0" xfId="0" applyAlignment="1">
      <alignment wrapText="1"/>
    </xf>
    <xf numFmtId="0" fontId="0" fillId="0" borderId="9" xfId="0" applyBorder="1"/>
    <xf numFmtId="9" fontId="0" fillId="0" borderId="9" xfId="3" applyFont="1" applyBorder="1"/>
    <xf numFmtId="9" fontId="0" fillId="0" borderId="0" xfId="0" applyNumberFormat="1"/>
    <xf numFmtId="1" fontId="0" fillId="0" borderId="0" xfId="0" applyNumberFormat="1"/>
    <xf numFmtId="164" fontId="0" fillId="0" borderId="9" xfId="3" applyNumberFormat="1" applyFont="1" applyBorder="1"/>
    <xf numFmtId="0" fontId="0" fillId="0" borderId="0" xfId="0" applyAlignment="1">
      <alignment horizontal="center"/>
    </xf>
    <xf numFmtId="166" fontId="0" fillId="0" borderId="1" xfId="0" applyNumberFormat="1" applyBorder="1"/>
    <xf numFmtId="11" fontId="0" fillId="0" borderId="0" xfId="0" applyNumberFormat="1"/>
    <xf numFmtId="11" fontId="0" fillId="0" borderId="1" xfId="0" applyNumberFormat="1" applyBorder="1"/>
    <xf numFmtId="164" fontId="0" fillId="0" borderId="0" xfId="0" applyNumberFormat="1"/>
    <xf numFmtId="9" fontId="0" fillId="3" borderId="0" xfId="3" applyFont="1" applyFill="1"/>
    <xf numFmtId="9" fontId="0" fillId="3" borderId="0" xfId="0" applyNumberFormat="1" applyFill="1"/>
    <xf numFmtId="164" fontId="0" fillId="3" borderId="0" xfId="3" applyNumberFormat="1" applyFont="1" applyFill="1"/>
    <xf numFmtId="166" fontId="0" fillId="0" borderId="0" xfId="0" applyNumberFormat="1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/>
  </cellXfs>
  <cellStyles count="4">
    <cellStyle name="Hyperlink" xfId="1" builtinId="8"/>
    <cellStyle name="Normal" xfId="0" builtinId="0"/>
    <cellStyle name="Normal 2" xfId="2" xr:uid="{79DAC96B-20AC-40F4-9E81-4409C0962EC5}"/>
    <cellStyle name="Percent" xfId="3" builtinId="5"/>
  </cellStyles>
  <dxfs count="0"/>
  <tableStyles count="0" defaultTableStyle="TableStyleMedium2" defaultPivotStyle="PivotStyleMedium9"/>
  <colors>
    <mruColors>
      <color rgb="FFFFC425"/>
      <color rgb="FFD9531E"/>
      <color rgb="FF933C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Custom 2">
      <a:dk1>
        <a:sysClr val="windowText" lastClr="000000"/>
      </a:dk1>
      <a:lt1>
        <a:sysClr val="window" lastClr="FFFFFF"/>
      </a:lt1>
      <a:dk2>
        <a:srgbClr val="007BBD"/>
      </a:dk2>
      <a:lt2>
        <a:srgbClr val="00A4E4"/>
      </a:lt2>
      <a:accent1>
        <a:srgbClr val="F6A01A"/>
      </a:accent1>
      <a:accent2>
        <a:srgbClr val="FFC425"/>
      </a:accent2>
      <a:accent3>
        <a:srgbClr val="5E9732"/>
      </a:accent3>
      <a:accent4>
        <a:srgbClr val="8DC63F"/>
      </a:accent4>
      <a:accent5>
        <a:srgbClr val="933C06"/>
      </a:accent5>
      <a:accent6>
        <a:srgbClr val="D9531E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resconrec.2023.107391" TargetMode="External"/><Relationship Id="rId2" Type="http://schemas.openxmlformats.org/officeDocument/2006/relationships/hyperlink" Target="https://doi.org/10.1016/j.resconrec.2023.107391" TargetMode="External"/><Relationship Id="rId1" Type="http://schemas.openxmlformats.org/officeDocument/2006/relationships/hyperlink" Target="https://doi.org/10.1016/j.resconrec.2023.107391" TargetMode="External"/><Relationship Id="rId4" Type="http://schemas.openxmlformats.org/officeDocument/2006/relationships/hyperlink" Target="https://www.ti.com/tool/TIDA-01094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4"/>
  <sheetViews>
    <sheetView tabSelected="1" zoomScaleNormal="100" workbookViewId="0">
      <pane xSplit="1" ySplit="3" topLeftCell="N16" activePane="bottomRight" state="frozen"/>
      <selection pane="topRight" activeCell="B1" sqref="B1"/>
      <selection pane="bottomLeft" activeCell="A2" sqref="A2"/>
      <selection pane="bottomRight" activeCell="AB3" sqref="AB3"/>
    </sheetView>
  </sheetViews>
  <sheetFormatPr defaultRowHeight="14.5" x14ac:dyDescent="0.35"/>
  <cols>
    <col min="1" max="1" width="4.81640625" bestFit="1" customWidth="1"/>
    <col min="2" max="2" width="9.81640625" bestFit="1" customWidth="1"/>
    <col min="3" max="3" width="8.81640625" bestFit="1" customWidth="1"/>
    <col min="6" max="6" width="1.453125" customWidth="1"/>
    <col min="7" max="7" width="15.81640625" customWidth="1"/>
    <col min="8" max="8" width="10.26953125" bestFit="1" customWidth="1"/>
    <col min="9" max="9" width="14.26953125" bestFit="1" customWidth="1"/>
    <col min="10" max="10" width="14.26953125" customWidth="1"/>
    <col min="11" max="11" width="36" customWidth="1"/>
    <col min="12" max="12" width="16.453125" style="4" customWidth="1"/>
    <col min="13" max="13" width="20.36328125" customWidth="1"/>
    <col min="14" max="14" width="14.36328125" customWidth="1"/>
    <col min="15" max="15" width="1.08984375" customWidth="1"/>
    <col min="16" max="16" width="12.08984375" customWidth="1"/>
    <col min="17" max="17" width="4.36328125" bestFit="1" customWidth="1"/>
    <col min="18" max="18" width="9.08984375" customWidth="1"/>
    <col min="19" max="19" width="16.90625" customWidth="1"/>
    <col min="20" max="20" width="1.1796875" customWidth="1"/>
    <col min="21" max="22" width="10.81640625" customWidth="1"/>
    <col min="23" max="23" width="11" customWidth="1"/>
    <col min="24" max="24" width="4.90625" customWidth="1"/>
    <col min="25" max="25" width="13.90625" customWidth="1"/>
    <col min="26" max="26" width="11.453125" customWidth="1"/>
    <col min="27" max="27" width="10.7265625" customWidth="1"/>
    <col min="28" max="28" width="1.90625" customWidth="1"/>
    <col min="29" max="30" width="15.453125" bestFit="1" customWidth="1"/>
    <col min="31" max="31" width="16.6328125" customWidth="1"/>
    <col min="32" max="32" width="1.453125" customWidth="1"/>
    <col min="33" max="33" width="21.1796875" customWidth="1"/>
    <col min="43" max="43" width="18.1796875" bestFit="1" customWidth="1"/>
  </cols>
  <sheetData>
    <row r="1" spans="1:33" x14ac:dyDescent="0.35">
      <c r="X1" s="44" t="s">
        <v>173</v>
      </c>
      <c r="Y1">
        <f>J37</f>
        <v>1.6000000000000001E-3</v>
      </c>
      <c r="Z1">
        <f>J36</f>
        <v>0.01</v>
      </c>
      <c r="AA1">
        <f>J38</f>
        <v>1</v>
      </c>
    </row>
    <row r="2" spans="1:33" x14ac:dyDescent="0.35">
      <c r="X2" s="45" t="s">
        <v>172</v>
      </c>
      <c r="Y2" s="46">
        <v>1.1000000000000001</v>
      </c>
      <c r="Z2" s="46">
        <v>1.2</v>
      </c>
      <c r="AA2" s="46">
        <v>1.3</v>
      </c>
    </row>
    <row r="3" spans="1:33" s="3" customFormat="1" ht="43.5" x14ac:dyDescent="0.35">
      <c r="A3" s="3" t="s">
        <v>0</v>
      </c>
      <c r="B3" s="3" t="s">
        <v>13</v>
      </c>
      <c r="C3" s="3" t="s">
        <v>12</v>
      </c>
      <c r="D3" s="3" t="s">
        <v>2</v>
      </c>
      <c r="E3" s="3" t="s">
        <v>1</v>
      </c>
      <c r="G3" s="3" t="s">
        <v>4</v>
      </c>
      <c r="H3" s="3" t="s">
        <v>84</v>
      </c>
      <c r="I3" s="3" t="s">
        <v>87</v>
      </c>
      <c r="J3" s="3" t="s">
        <v>171</v>
      </c>
      <c r="K3" s="3" t="s">
        <v>88</v>
      </c>
      <c r="L3" s="19" t="s">
        <v>80</v>
      </c>
      <c r="M3" s="3" t="s">
        <v>5</v>
      </c>
      <c r="N3" s="3" t="s">
        <v>6</v>
      </c>
      <c r="P3" s="3" t="s">
        <v>52</v>
      </c>
      <c r="Q3" s="3" t="s">
        <v>12</v>
      </c>
      <c r="R3" s="3" t="s">
        <v>51</v>
      </c>
      <c r="S3" s="3" t="s">
        <v>53</v>
      </c>
      <c r="U3" s="3" t="s">
        <v>91</v>
      </c>
      <c r="V3" s="3" t="s">
        <v>92</v>
      </c>
      <c r="W3" s="3" t="s">
        <v>93</v>
      </c>
      <c r="Y3" s="3" t="s">
        <v>175</v>
      </c>
      <c r="Z3" s="3" t="s">
        <v>176</v>
      </c>
      <c r="AA3" s="3" t="s">
        <v>177</v>
      </c>
      <c r="AC3" s="3" t="s">
        <v>170</v>
      </c>
      <c r="AD3" s="3" t="s">
        <v>168</v>
      </c>
      <c r="AE3" s="3" t="s">
        <v>169</v>
      </c>
      <c r="AG3" s="3" t="s">
        <v>174</v>
      </c>
    </row>
    <row r="4" spans="1:33" x14ac:dyDescent="0.35">
      <c r="A4">
        <v>1990</v>
      </c>
    </row>
    <row r="5" spans="1:33" x14ac:dyDescent="0.35">
      <c r="A5">
        <v>1991</v>
      </c>
    </row>
    <row r="6" spans="1:33" x14ac:dyDescent="0.35">
      <c r="A6">
        <v>1992</v>
      </c>
    </row>
    <row r="7" spans="1:33" x14ac:dyDescent="0.35">
      <c r="A7">
        <v>1993</v>
      </c>
    </row>
    <row r="8" spans="1:33" x14ac:dyDescent="0.35">
      <c r="A8">
        <v>1994</v>
      </c>
    </row>
    <row r="9" spans="1:33" x14ac:dyDescent="0.35">
      <c r="A9">
        <v>1995</v>
      </c>
      <c r="AC9" s="40">
        <v>0.74244430688220409</v>
      </c>
      <c r="AD9" s="40">
        <v>0.25270531817362618</v>
      </c>
      <c r="AE9" s="42">
        <v>4.8503749441697556E-3</v>
      </c>
    </row>
    <row r="10" spans="1:33" x14ac:dyDescent="0.35">
      <c r="A10">
        <v>1996</v>
      </c>
      <c r="AC10" s="40">
        <v>0.74244430688220409</v>
      </c>
      <c r="AD10" s="40">
        <v>0.25270531817362618</v>
      </c>
      <c r="AE10" s="42">
        <v>4.8503749441697556E-3</v>
      </c>
    </row>
    <row r="11" spans="1:33" x14ac:dyDescent="0.35">
      <c r="A11">
        <v>1997</v>
      </c>
      <c r="AC11" s="40">
        <v>0.74244430688220409</v>
      </c>
      <c r="AD11" s="40">
        <v>0.25270531817362618</v>
      </c>
      <c r="AE11" s="42">
        <v>4.8503749441697556E-3</v>
      </c>
    </row>
    <row r="12" spans="1:33" x14ac:dyDescent="0.35">
      <c r="A12">
        <v>1998</v>
      </c>
      <c r="AC12" s="40">
        <v>0.74244430688220409</v>
      </c>
      <c r="AD12" s="40">
        <v>0.25270531817362618</v>
      </c>
      <c r="AE12" s="42">
        <v>4.8503749441697556E-3</v>
      </c>
    </row>
    <row r="13" spans="1:33" x14ac:dyDescent="0.35">
      <c r="A13">
        <v>1999</v>
      </c>
      <c r="AC13" s="40">
        <v>0.74244430688220409</v>
      </c>
      <c r="AD13" s="40">
        <v>0.25270531817362618</v>
      </c>
      <c r="AE13" s="42">
        <v>4.8503749441697556E-3</v>
      </c>
    </row>
    <row r="14" spans="1:33" x14ac:dyDescent="0.35">
      <c r="A14">
        <v>2000</v>
      </c>
      <c r="AC14" s="40">
        <v>0.74244430688220409</v>
      </c>
      <c r="AD14" s="40">
        <v>0.25270531817362618</v>
      </c>
      <c r="AE14" s="42">
        <v>4.8503749441697556E-3</v>
      </c>
    </row>
    <row r="15" spans="1:33" x14ac:dyDescent="0.35">
      <c r="A15">
        <v>2001</v>
      </c>
      <c r="AC15" s="40">
        <v>0.74244430688220409</v>
      </c>
      <c r="AD15" s="40">
        <v>0.25270531817362618</v>
      </c>
      <c r="AE15" s="42">
        <v>4.8503749441697556E-3</v>
      </c>
    </row>
    <row r="16" spans="1:33" x14ac:dyDescent="0.35">
      <c r="A16">
        <v>2002</v>
      </c>
      <c r="AC16" s="40">
        <v>0.74244430688220409</v>
      </c>
      <c r="AD16" s="40">
        <v>0.25270531817362618</v>
      </c>
      <c r="AE16" s="42">
        <v>4.8503749441697556E-3</v>
      </c>
    </row>
    <row r="17" spans="1:33" x14ac:dyDescent="0.35">
      <c r="A17">
        <v>2003</v>
      </c>
      <c r="AC17" s="40">
        <v>0.74244430688220409</v>
      </c>
      <c r="AD17" s="40">
        <v>0.25270531817362618</v>
      </c>
      <c r="AE17" s="42">
        <v>4.8503749441697556E-3</v>
      </c>
    </row>
    <row r="18" spans="1:33" x14ac:dyDescent="0.35">
      <c r="A18">
        <v>2004</v>
      </c>
      <c r="AC18" s="40">
        <v>0.74244430688220409</v>
      </c>
      <c r="AD18" s="40">
        <v>0.25270531817362618</v>
      </c>
      <c r="AE18" s="42">
        <v>4.8503749441697556E-3</v>
      </c>
    </row>
    <row r="19" spans="1:33" x14ac:dyDescent="0.35">
      <c r="A19">
        <v>2005</v>
      </c>
      <c r="AC19" s="40">
        <v>0.74244430688220409</v>
      </c>
      <c r="AD19" s="40">
        <v>0.25270531817362618</v>
      </c>
      <c r="AE19" s="42">
        <v>4.8503749441697556E-3</v>
      </c>
    </row>
    <row r="20" spans="1:33" x14ac:dyDescent="0.35">
      <c r="A20">
        <v>2006</v>
      </c>
      <c r="AC20" s="40">
        <v>0.74244430688220409</v>
      </c>
      <c r="AD20" s="40">
        <v>0.25270531817362618</v>
      </c>
      <c r="AE20" s="42">
        <v>4.8503749441697556E-3</v>
      </c>
    </row>
    <row r="21" spans="1:33" x14ac:dyDescent="0.35">
      <c r="A21">
        <v>2007</v>
      </c>
      <c r="AC21" s="40">
        <v>0.74244430688220409</v>
      </c>
      <c r="AD21" s="40">
        <v>0.25270531817362618</v>
      </c>
      <c r="AE21" s="42">
        <v>4.8503749441697556E-3</v>
      </c>
    </row>
    <row r="22" spans="1:33" x14ac:dyDescent="0.35">
      <c r="A22">
        <v>2008</v>
      </c>
      <c r="AC22" s="40">
        <v>0.74244430688220409</v>
      </c>
      <c r="AD22" s="40">
        <v>0.25270531817362618</v>
      </c>
      <c r="AE22" s="42">
        <v>4.8503749441697556E-3</v>
      </c>
    </row>
    <row r="23" spans="1:33" x14ac:dyDescent="0.35">
      <c r="A23">
        <v>2009</v>
      </c>
      <c r="AC23" s="40">
        <v>0.74244430688220409</v>
      </c>
      <c r="AD23" s="40">
        <v>0.25270531817362618</v>
      </c>
      <c r="AE23" s="42">
        <v>4.8503749441697556E-3</v>
      </c>
    </row>
    <row r="24" spans="1:33" x14ac:dyDescent="0.35">
      <c r="A24">
        <v>2010</v>
      </c>
      <c r="AC24" s="40">
        <v>0.74244430688220409</v>
      </c>
      <c r="AD24" s="40">
        <v>0.25270531817362618</v>
      </c>
      <c r="AE24" s="42">
        <v>4.8503749441697556E-3</v>
      </c>
    </row>
    <row r="25" spans="1:33" x14ac:dyDescent="0.35">
      <c r="A25">
        <v>2011</v>
      </c>
      <c r="AC25" s="40">
        <v>0.74244430688220409</v>
      </c>
      <c r="AD25" s="40">
        <v>0.25270531817362618</v>
      </c>
      <c r="AE25" s="42">
        <v>4.8503749441697556E-3</v>
      </c>
    </row>
    <row r="26" spans="1:33" x14ac:dyDescent="0.35">
      <c r="A26">
        <v>2012</v>
      </c>
      <c r="AC26" s="40">
        <v>0.74244430688220409</v>
      </c>
      <c r="AD26" s="40">
        <v>0.25270531817362618</v>
      </c>
      <c r="AE26" s="42">
        <v>4.8503749441697556E-3</v>
      </c>
    </row>
    <row r="27" spans="1:33" x14ac:dyDescent="0.35">
      <c r="A27">
        <v>2013</v>
      </c>
      <c r="AC27" s="40">
        <v>0.74244430688220409</v>
      </c>
      <c r="AD27" s="40">
        <v>0.25270531817362618</v>
      </c>
      <c r="AE27" s="42">
        <v>4.8503749441697556E-3</v>
      </c>
    </row>
    <row r="28" spans="1:33" x14ac:dyDescent="0.35">
      <c r="A28">
        <v>2014</v>
      </c>
      <c r="G28" s="17" t="s">
        <v>79</v>
      </c>
      <c r="H28" s="18"/>
      <c r="I28" s="18"/>
      <c r="J28" s="18"/>
      <c r="AC28" s="40">
        <v>0.74244430688220409</v>
      </c>
      <c r="AD28" s="40">
        <v>0.25270531817362618</v>
      </c>
      <c r="AE28" s="42">
        <v>4.8503749441697556E-3</v>
      </c>
    </row>
    <row r="29" spans="1:33" x14ac:dyDescent="0.35">
      <c r="A29">
        <v>2015</v>
      </c>
      <c r="B29">
        <v>5.12</v>
      </c>
      <c r="C29" t="s">
        <v>15</v>
      </c>
      <c r="D29" s="2" t="s">
        <v>10</v>
      </c>
      <c r="E29" t="s">
        <v>16</v>
      </c>
      <c r="AC29" s="32">
        <f>WoodMacInverterCompany!T4</f>
        <v>0.74244430688220409</v>
      </c>
      <c r="AD29" s="32">
        <f>WoodMacInverterCompany!U4</f>
        <v>0.25270531817362618</v>
      </c>
      <c r="AE29" s="39">
        <f>WoodMacInverterCompany!V4</f>
        <v>4.8503749441697556E-3</v>
      </c>
    </row>
    <row r="30" spans="1:33" x14ac:dyDescent="0.35">
      <c r="A30">
        <v>2016</v>
      </c>
      <c r="B30">
        <f>1*10^-4</f>
        <v>1E-4</v>
      </c>
      <c r="C30" t="s">
        <v>17</v>
      </c>
      <c r="D30" s="2" t="s">
        <v>10</v>
      </c>
      <c r="E30" t="s">
        <v>18</v>
      </c>
      <c r="AC30" s="32">
        <f>WoodMacInverterCompany!T5</f>
        <v>0.75283328395352489</v>
      </c>
      <c r="AD30" s="32">
        <f>WoodMacInverterCompany!U5</f>
        <v>0.24140775674316256</v>
      </c>
      <c r="AE30" s="39">
        <f>WoodMacInverterCompany!V5</f>
        <v>5.7589593033124976E-3</v>
      </c>
    </row>
    <row r="31" spans="1:33" x14ac:dyDescent="0.35">
      <c r="A31">
        <v>2017</v>
      </c>
      <c r="P31" t="s">
        <v>76</v>
      </c>
      <c r="AC31" s="32">
        <f>WoodMacInverterCompany!T6</f>
        <v>0.7635164608822107</v>
      </c>
      <c r="AD31" s="32">
        <f>WoodMacInverterCompany!U6</f>
        <v>0.23361236210093689</v>
      </c>
      <c r="AE31" s="39">
        <f>WoodMacInverterCompany!V6</f>
        <v>2.8711770168524066E-3</v>
      </c>
    </row>
    <row r="32" spans="1:33" x14ac:dyDescent="0.35">
      <c r="A32">
        <v>2018</v>
      </c>
      <c r="P32" s="14">
        <v>3.1809145129224651E-5</v>
      </c>
      <c r="Q32" t="s">
        <v>71</v>
      </c>
      <c r="R32" t="s">
        <v>72</v>
      </c>
      <c r="S32" t="s">
        <v>73</v>
      </c>
      <c r="U32" s="37">
        <f>$B$39*$G$37*P32</f>
        <v>1.0751491053677931E-8</v>
      </c>
      <c r="V32" s="37">
        <f>$B$39*$G$36*P32</f>
        <v>6.4508946322067582E-9</v>
      </c>
      <c r="W32" s="37">
        <f t="shared" ref="W32:W37" si="0">$B$39*$G$38*$H$38*P32</f>
        <v>1.9352683896620274E-8</v>
      </c>
      <c r="X32" s="27"/>
      <c r="Y32" s="37">
        <f>U32/1000/$Y$1</f>
        <v>6.719681908548706E-9</v>
      </c>
      <c r="Z32" s="37">
        <f>V32/1000/$Z$1</f>
        <v>6.4508946322067576E-10</v>
      </c>
      <c r="AA32" s="37">
        <f>W32/1000/$AA$1</f>
        <v>1.9352683896620274E-11</v>
      </c>
      <c r="AB32" s="27"/>
      <c r="AC32" s="32">
        <f>WoodMacInverterCompany!T7</f>
        <v>0.77746515432831997</v>
      </c>
      <c r="AD32" s="32">
        <f>WoodMacInverterCompany!U7</f>
        <v>0.21975854286905561</v>
      </c>
      <c r="AE32" s="39">
        <f>WoodMacInverterCompany!V7</f>
        <v>2.776302802624211E-3</v>
      </c>
      <c r="AG32" s="37">
        <f>(Y32*AC32)+(Z32*AD32)+(AA32*AE32)</f>
        <v>5.3661361814351366E-9</v>
      </c>
    </row>
    <row r="33" spans="1:33" x14ac:dyDescent="0.35">
      <c r="A33">
        <v>2019</v>
      </c>
      <c r="P33" s="14">
        <v>3.0434451799436964E-5</v>
      </c>
      <c r="Q33" t="s">
        <v>71</v>
      </c>
      <c r="R33" t="s">
        <v>72</v>
      </c>
      <c r="S33" t="s">
        <v>73</v>
      </c>
      <c r="U33" s="37">
        <f>$B$39*$G$37*P33</f>
        <v>1.0286844708209693E-8</v>
      </c>
      <c r="V33" s="37">
        <f t="shared" ref="V33:V42" si="1">$B$39*$G$36*P33</f>
        <v>6.1721068249258155E-9</v>
      </c>
      <c r="W33" s="37">
        <f t="shared" si="0"/>
        <v>1.8516320474777446E-8</v>
      </c>
      <c r="X33" s="27"/>
      <c r="Y33" s="37">
        <f>U33/1000/$Y$1</f>
        <v>6.4292779426310583E-9</v>
      </c>
      <c r="Z33" s="37">
        <f t="shared" ref="Z33:Z42" si="2">V33/1000/$Z$1</f>
        <v>6.1721068249258161E-10</v>
      </c>
      <c r="AA33" s="37">
        <f t="shared" ref="AA33:AA42" si="3">W33/1000/$AA$1</f>
        <v>1.8516320474777447E-11</v>
      </c>
      <c r="AB33" s="27"/>
      <c r="AC33" s="32">
        <f>WoodMacInverterCompany!T8</f>
        <v>0.81355500982619333</v>
      </c>
      <c r="AD33" s="32">
        <f>WoodMacInverterCompany!U8</f>
        <v>0.18271067343626388</v>
      </c>
      <c r="AE33" s="39">
        <f>WoodMacInverterCompany!V8</f>
        <v>3.7343167375427193E-3</v>
      </c>
      <c r="AG33" s="37">
        <f t="shared" ref="AG33:AG42" si="4">(Y33*AC33)+(Z33*AD33)+(AA33*AE33)</f>
        <v>5.3434114050482815E-9</v>
      </c>
    </row>
    <row r="34" spans="1:33" x14ac:dyDescent="0.35">
      <c r="A34">
        <v>2020</v>
      </c>
      <c r="P34" s="14">
        <v>5.4192149880003095E-5</v>
      </c>
      <c r="Q34" t="s">
        <v>71</v>
      </c>
      <c r="R34" t="s">
        <v>72</v>
      </c>
      <c r="S34" t="s">
        <v>73</v>
      </c>
      <c r="U34" s="37">
        <f t="shared" ref="U34:U42" si="5">$B$39*$G$37*P34</f>
        <v>1.8316946659441044E-8</v>
      </c>
      <c r="V34" s="37">
        <f t="shared" si="1"/>
        <v>1.0990167995664626E-8</v>
      </c>
      <c r="W34" s="37">
        <f t="shared" si="0"/>
        <v>3.2970503986993881E-8</v>
      </c>
      <c r="X34" s="27"/>
      <c r="Y34" s="37">
        <f t="shared" ref="Y33:Y42" si="6">U34/1000/$Y$1</f>
        <v>1.1448091662150651E-8</v>
      </c>
      <c r="Z34" s="37">
        <f t="shared" si="2"/>
        <v>1.0990167995664627E-9</v>
      </c>
      <c r="AA34" s="37">
        <f t="shared" si="3"/>
        <v>3.2970503986993881E-11</v>
      </c>
      <c r="AB34" s="27"/>
      <c r="AC34" s="32">
        <f>WoodMacInverterCompany!T9</f>
        <v>0.81313418050971487</v>
      </c>
      <c r="AD34" s="32">
        <f>WoodMacInverterCompany!U9</f>
        <v>0.17972966841296417</v>
      </c>
      <c r="AE34" s="39">
        <f>WoodMacInverterCompany!V9</f>
        <v>7.1361510773210171E-3</v>
      </c>
      <c r="AG34" s="37">
        <f t="shared" si="4"/>
        <v>9.5065958395668732E-9</v>
      </c>
    </row>
    <row r="35" spans="1:33" x14ac:dyDescent="0.35">
      <c r="A35">
        <v>2021</v>
      </c>
      <c r="G35" s="12">
        <v>0</v>
      </c>
      <c r="H35" s="12"/>
      <c r="I35" s="12"/>
      <c r="J35" s="12"/>
      <c r="K35" s="12" t="s">
        <v>11</v>
      </c>
      <c r="L35" s="20"/>
      <c r="M35" s="13" t="s">
        <v>10</v>
      </c>
      <c r="P35" s="14">
        <v>8.058017727639001E-5</v>
      </c>
      <c r="Q35" t="s">
        <v>71</v>
      </c>
      <c r="R35" t="s">
        <v>72</v>
      </c>
      <c r="S35" t="s">
        <v>73</v>
      </c>
      <c r="U35" s="37">
        <f t="shared" si="5"/>
        <v>2.7236099919419822E-8</v>
      </c>
      <c r="V35" s="37">
        <f t="shared" si="1"/>
        <v>1.6341659951651891E-8</v>
      </c>
      <c r="W35" s="37">
        <f t="shared" si="0"/>
        <v>4.9024979854955677E-8</v>
      </c>
      <c r="X35" s="27"/>
      <c r="Y35" s="37">
        <f t="shared" si="6"/>
        <v>1.7022562449637387E-8</v>
      </c>
      <c r="Z35" s="37">
        <f t="shared" si="2"/>
        <v>1.6341659951651892E-9</v>
      </c>
      <c r="AA35" s="37">
        <f t="shared" si="3"/>
        <v>4.9024979854955678E-11</v>
      </c>
      <c r="AB35" s="27"/>
      <c r="AC35" s="32">
        <f>WoodMacInverterCompany!T10</f>
        <v>0.87101307109519344</v>
      </c>
      <c r="AD35" s="32">
        <f>WoodMacInverterCompany!U10</f>
        <v>0.1251798418412931</v>
      </c>
      <c r="AE35" s="39">
        <f>WoodMacInverterCompany!V10</f>
        <v>3.8070870635134027E-3</v>
      </c>
      <c r="AG35" s="37">
        <f t="shared" si="4"/>
        <v>1.5031625680352174E-8</v>
      </c>
    </row>
    <row r="36" spans="1:33" x14ac:dyDescent="0.35">
      <c r="A36">
        <v>2022</v>
      </c>
      <c r="G36">
        <v>6</v>
      </c>
      <c r="H36">
        <v>1</v>
      </c>
      <c r="I36" t="s">
        <v>85</v>
      </c>
      <c r="J36">
        <f>10/1000</f>
        <v>0.01</v>
      </c>
      <c r="K36" t="s">
        <v>78</v>
      </c>
      <c r="L36" s="4" t="s">
        <v>83</v>
      </c>
      <c r="M36" t="s">
        <v>97</v>
      </c>
      <c r="P36" s="14">
        <v>1.9553072625698323E-4</v>
      </c>
      <c r="Q36" t="s">
        <v>71</v>
      </c>
      <c r="R36" t="s">
        <v>72</v>
      </c>
      <c r="S36" t="s">
        <v>73</v>
      </c>
      <c r="U36" s="37">
        <f t="shared" si="5"/>
        <v>6.6089385474860326E-8</v>
      </c>
      <c r="V36" s="37">
        <f t="shared" si="1"/>
        <v>3.9653631284916192E-8</v>
      </c>
      <c r="W36" s="37">
        <f t="shared" si="0"/>
        <v>1.1896089385474858E-7</v>
      </c>
      <c r="X36" s="27"/>
      <c r="Y36" s="37">
        <f t="shared" si="6"/>
        <v>4.13058659217877E-8</v>
      </c>
      <c r="Z36" s="37">
        <f t="shared" si="2"/>
        <v>3.9653631284916193E-9</v>
      </c>
      <c r="AA36" s="37">
        <f t="shared" si="3"/>
        <v>1.1896089385474859E-10</v>
      </c>
      <c r="AB36" s="27"/>
      <c r="AC36" s="32">
        <f>WoodMacInverterCompany!T11</f>
        <v>0.89135783360000576</v>
      </c>
      <c r="AD36" s="32">
        <f>WoodMacInverterCompany!U11</f>
        <v>0.1052077615174591</v>
      </c>
      <c r="AE36" s="39">
        <f>WoodMacInverterCompany!V11</f>
        <v>3.4344048825351459E-3</v>
      </c>
      <c r="AG36" s="37">
        <f t="shared" si="4"/>
        <v>3.723590270124415E-8</v>
      </c>
    </row>
    <row r="37" spans="1:33" x14ac:dyDescent="0.35">
      <c r="A37">
        <v>2023</v>
      </c>
      <c r="G37">
        <v>10</v>
      </c>
      <c r="H37">
        <v>1</v>
      </c>
      <c r="I37" t="s">
        <v>89</v>
      </c>
      <c r="J37">
        <f>1.6/1000</f>
        <v>1.6000000000000001E-3</v>
      </c>
      <c r="K37" t="s">
        <v>7</v>
      </c>
      <c r="L37" s="4" t="s">
        <v>81</v>
      </c>
      <c r="M37" t="s">
        <v>98</v>
      </c>
      <c r="P37" s="14">
        <v>3.3690869086908695E-4</v>
      </c>
      <c r="Q37" t="s">
        <v>71</v>
      </c>
      <c r="R37" t="s">
        <v>72</v>
      </c>
      <c r="S37" t="s">
        <v>73</v>
      </c>
      <c r="U37" s="37">
        <f t="shared" si="5"/>
        <v>1.1387513751375138E-7</v>
      </c>
      <c r="V37" s="37">
        <f t="shared" si="1"/>
        <v>6.8325082508250822E-8</v>
      </c>
      <c r="W37" s="37">
        <f t="shared" si="0"/>
        <v>2.0497524752475247E-7</v>
      </c>
      <c r="X37" s="27"/>
      <c r="Y37" s="37">
        <f t="shared" si="6"/>
        <v>7.1171960946094613E-8</v>
      </c>
      <c r="Z37" s="37">
        <f t="shared" si="2"/>
        <v>6.8325082508250815E-9</v>
      </c>
      <c r="AA37" s="37">
        <f t="shared" si="3"/>
        <v>2.0497524752475247E-10</v>
      </c>
      <c r="AB37" s="27"/>
      <c r="AC37" s="32">
        <f>WoodMacInverterCompany!T12</f>
        <v>0.85668734806738545</v>
      </c>
      <c r="AD37" s="32">
        <f>WoodMacInverterCompany!U12</f>
        <v>0.13371819005753083</v>
      </c>
      <c r="AE37" s="39">
        <f>WoodMacInverterCompany!V12</f>
        <v>9.5944618750836153E-3</v>
      </c>
      <c r="AG37" s="37">
        <f t="shared" si="4"/>
        <v>6.1887715743716504E-8</v>
      </c>
    </row>
    <row r="38" spans="1:33" x14ac:dyDescent="0.35">
      <c r="A38">
        <v>2024</v>
      </c>
      <c r="B38">
        <v>3.3799999999999997E-2</v>
      </c>
      <c r="C38" t="s">
        <v>14</v>
      </c>
      <c r="D38" t="s">
        <v>3</v>
      </c>
      <c r="E38" t="s">
        <v>74</v>
      </c>
      <c r="G38">
        <v>6</v>
      </c>
      <c r="H38">
        <v>3</v>
      </c>
      <c r="I38" t="s">
        <v>86</v>
      </c>
      <c r="J38">
        <f>1</f>
        <v>1</v>
      </c>
      <c r="K38" t="s">
        <v>8</v>
      </c>
      <c r="L38" s="4" t="s">
        <v>82</v>
      </c>
      <c r="M38" t="s">
        <v>9</v>
      </c>
      <c r="N38" t="s">
        <v>77</v>
      </c>
      <c r="P38" s="14">
        <v>4.8114948589506984E-4</v>
      </c>
      <c r="Q38" t="s">
        <v>71</v>
      </c>
      <c r="R38" t="s">
        <v>72</v>
      </c>
      <c r="S38" t="s">
        <v>73</v>
      </c>
      <c r="U38" s="37">
        <f t="shared" si="5"/>
        <v>1.6262852623253359E-7</v>
      </c>
      <c r="V38" s="37">
        <f t="shared" si="1"/>
        <v>9.7577115739520148E-8</v>
      </c>
      <c r="W38" s="37">
        <f>$B$39*$G$38*$H$38*P38</f>
        <v>2.9273134721856046E-7</v>
      </c>
      <c r="X38" s="27"/>
      <c r="Y38" s="37">
        <f t="shared" si="6"/>
        <v>1.016428288953335E-7</v>
      </c>
      <c r="Z38" s="37">
        <f t="shared" si="2"/>
        <v>9.7577115739520142E-9</v>
      </c>
      <c r="AA38" s="37">
        <f t="shared" si="3"/>
        <v>2.9273134721856047E-10</v>
      </c>
      <c r="AB38" s="27"/>
      <c r="AC38" s="41">
        <v>0.85668734806738545</v>
      </c>
      <c r="AD38" s="41">
        <v>0.13371819005753083</v>
      </c>
      <c r="AE38" s="41">
        <v>9.5944618750836153E-3</v>
      </c>
      <c r="AG38" s="37">
        <f t="shared" si="4"/>
        <v>8.8383717666933081E-8</v>
      </c>
    </row>
    <row r="39" spans="1:33" s="1" customFormat="1" x14ac:dyDescent="0.35">
      <c r="A39" s="1">
        <v>2025</v>
      </c>
      <c r="B39" s="1">
        <f>B38/1000</f>
        <v>3.3799999999999995E-5</v>
      </c>
      <c r="C39" s="1" t="s">
        <v>75</v>
      </c>
      <c r="H39" s="1">
        <v>1</v>
      </c>
      <c r="I39" s="1" t="s">
        <v>95</v>
      </c>
      <c r="J39" s="1">
        <f>0.6/1000</f>
        <v>5.9999999999999995E-4</v>
      </c>
      <c r="K39" s="1" t="s">
        <v>96</v>
      </c>
      <c r="L39" s="21"/>
      <c r="M39" s="1" t="s">
        <v>162</v>
      </c>
      <c r="N39" s="28" t="s">
        <v>94</v>
      </c>
      <c r="P39" s="15">
        <v>6.5715358618099887E-4</v>
      </c>
      <c r="Q39" s="1" t="s">
        <v>71</v>
      </c>
      <c r="R39" s="1" t="s">
        <v>72</v>
      </c>
      <c r="S39" s="1" t="s">
        <v>73</v>
      </c>
      <c r="U39" s="38">
        <f t="shared" si="5"/>
        <v>2.2211791212917761E-7</v>
      </c>
      <c r="V39" s="38">
        <f t="shared" si="1"/>
        <v>1.3327074727750656E-7</v>
      </c>
      <c r="W39" s="37">
        <f t="shared" ref="W39:W42" si="7">$B$39*$G$38*$H$38*P39</f>
        <v>3.9981224183251968E-7</v>
      </c>
      <c r="X39" s="36"/>
      <c r="Y39" s="37">
        <f t="shared" si="6"/>
        <v>1.3882369508073601E-7</v>
      </c>
      <c r="Z39" s="37">
        <f t="shared" si="2"/>
        <v>1.3327074727750655E-8</v>
      </c>
      <c r="AA39" s="37">
        <f t="shared" si="3"/>
        <v>3.9981224183251968E-10</v>
      </c>
      <c r="AB39" s="43"/>
      <c r="AC39" s="41">
        <v>0.85668734806738545</v>
      </c>
      <c r="AD39" s="41">
        <v>0.13371819005753083</v>
      </c>
      <c r="AE39" s="41">
        <v>9.5944618750836153E-3</v>
      </c>
      <c r="AG39" s="37">
        <f t="shared" si="4"/>
        <v>1.207144114822988E-7</v>
      </c>
    </row>
    <row r="40" spans="1:33" x14ac:dyDescent="0.35">
      <c r="A40">
        <v>2026</v>
      </c>
      <c r="P40" s="14">
        <v>9.1846409101682864E-4</v>
      </c>
      <c r="Q40" t="s">
        <v>71</v>
      </c>
      <c r="R40" t="s">
        <v>72</v>
      </c>
      <c r="S40" t="s">
        <v>73</v>
      </c>
      <c r="U40" s="37">
        <f t="shared" si="5"/>
        <v>3.1044086276368805E-7</v>
      </c>
      <c r="V40" s="37">
        <f t="shared" si="1"/>
        <v>1.8626451765821281E-7</v>
      </c>
      <c r="W40" s="37">
        <f t="shared" si="7"/>
        <v>5.5879355297463852E-7</v>
      </c>
      <c r="X40" s="27"/>
      <c r="Y40" s="37">
        <f t="shared" si="6"/>
        <v>1.9402553922730501E-7</v>
      </c>
      <c r="Z40" s="37">
        <f t="shared" si="2"/>
        <v>1.862645176582128E-8</v>
      </c>
      <c r="AA40" s="37">
        <f t="shared" si="3"/>
        <v>5.5879355297463856E-10</v>
      </c>
      <c r="AB40" s="27"/>
      <c r="AC40" s="41">
        <v>0.85668734806738545</v>
      </c>
      <c r="AD40" s="41">
        <v>0.13371819005753083</v>
      </c>
      <c r="AE40" s="41">
        <v>9.5944618750836153E-3</v>
      </c>
      <c r="AG40" s="37">
        <f t="shared" si="4"/>
        <v>1.6871528139874396E-7</v>
      </c>
    </row>
    <row r="41" spans="1:33" x14ac:dyDescent="0.35">
      <c r="A41">
        <v>2027</v>
      </c>
      <c r="P41" s="14">
        <v>1.028306683993446E-3</v>
      </c>
      <c r="Q41" t="s">
        <v>71</v>
      </c>
      <c r="R41" t="s">
        <v>72</v>
      </c>
      <c r="S41" t="s">
        <v>73</v>
      </c>
      <c r="U41" s="37">
        <f t="shared" si="5"/>
        <v>3.4756765918978473E-7</v>
      </c>
      <c r="V41" s="37">
        <f t="shared" si="1"/>
        <v>2.085405955138708E-7</v>
      </c>
      <c r="W41" s="37">
        <f t="shared" si="7"/>
        <v>6.2562178654161249E-7</v>
      </c>
      <c r="X41" s="27"/>
      <c r="Y41" s="37">
        <f t="shared" si="6"/>
        <v>2.1722978699361545E-7</v>
      </c>
      <c r="Z41" s="37">
        <f t="shared" si="2"/>
        <v>2.085405955138708E-8</v>
      </c>
      <c r="AA41" s="37">
        <f t="shared" si="3"/>
        <v>6.2562178654161252E-10</v>
      </c>
      <c r="AB41" s="27"/>
      <c r="AC41" s="41">
        <v>0.85668734806738545</v>
      </c>
      <c r="AD41" s="41">
        <v>0.13371819005753083</v>
      </c>
      <c r="AE41" s="41">
        <v>9.5944618750836153E-3</v>
      </c>
      <c r="AG41" s="37">
        <f t="shared" si="4"/>
        <v>1.8889257974374607E-7</v>
      </c>
    </row>
    <row r="42" spans="1:33" x14ac:dyDescent="0.35">
      <c r="A42">
        <v>2028</v>
      </c>
      <c r="P42" s="16">
        <v>1.1831442463533224E-3</v>
      </c>
      <c r="Q42" t="s">
        <v>71</v>
      </c>
      <c r="R42" t="s">
        <v>72</v>
      </c>
      <c r="S42" t="s">
        <v>73</v>
      </c>
      <c r="U42" s="37">
        <f t="shared" si="5"/>
        <v>3.9990275526742293E-7</v>
      </c>
      <c r="V42" s="37">
        <f t="shared" si="1"/>
        <v>2.3994165316045375E-7</v>
      </c>
      <c r="W42" s="37">
        <f t="shared" si="7"/>
        <v>7.1982495948136129E-7</v>
      </c>
      <c r="X42" s="27"/>
      <c r="Y42" s="37">
        <f t="shared" si="6"/>
        <v>2.4993922204213932E-7</v>
      </c>
      <c r="Z42" s="37">
        <f t="shared" si="2"/>
        <v>2.3994165316045373E-8</v>
      </c>
      <c r="AA42" s="37">
        <f t="shared" si="3"/>
        <v>7.1982495948136124E-10</v>
      </c>
      <c r="AB42" s="27"/>
      <c r="AC42" s="41">
        <v>0.85668734806738545</v>
      </c>
      <c r="AD42" s="41">
        <v>0.13371819005753083</v>
      </c>
      <c r="AE42" s="41">
        <v>9.5944618750836153E-3</v>
      </c>
      <c r="AG42" s="37">
        <f t="shared" si="4"/>
        <v>2.1733513200043898E-7</v>
      </c>
    </row>
    <row r="43" spans="1:33" x14ac:dyDescent="0.35">
      <c r="A43">
        <v>2029</v>
      </c>
      <c r="AC43" s="41">
        <v>0.85668734806738545</v>
      </c>
      <c r="AD43" s="41">
        <v>0.13371819005753083</v>
      </c>
      <c r="AE43" s="41">
        <v>9.5944618750836153E-3</v>
      </c>
    </row>
    <row r="44" spans="1:33" x14ac:dyDescent="0.35">
      <c r="A44">
        <v>2030</v>
      </c>
      <c r="AC44" s="41">
        <v>0.85668734806738545</v>
      </c>
      <c r="AD44" s="41">
        <v>0.13371819005753083</v>
      </c>
      <c r="AE44" s="41">
        <v>9.5944618750836153E-3</v>
      </c>
    </row>
    <row r="45" spans="1:33" x14ac:dyDescent="0.35">
      <c r="A45">
        <v>2031</v>
      </c>
      <c r="AC45" s="41">
        <v>0.85668734806738545</v>
      </c>
      <c r="AD45" s="41">
        <v>0.13371819005753083</v>
      </c>
      <c r="AE45" s="41">
        <v>9.5944618750836153E-3</v>
      </c>
    </row>
    <row r="46" spans="1:33" x14ac:dyDescent="0.35">
      <c r="A46">
        <v>2032</v>
      </c>
      <c r="AC46" s="41">
        <v>0.85668734806738545</v>
      </c>
      <c r="AD46" s="41">
        <v>0.13371819005753083</v>
      </c>
      <c r="AE46" s="41">
        <v>9.5944618750836153E-3</v>
      </c>
    </row>
    <row r="47" spans="1:33" x14ac:dyDescent="0.35">
      <c r="A47">
        <v>2033</v>
      </c>
      <c r="AC47" s="41">
        <v>0.85668734806738545</v>
      </c>
      <c r="AD47" s="41">
        <v>0.13371819005753083</v>
      </c>
      <c r="AE47" s="41">
        <v>9.5944618750836153E-3</v>
      </c>
    </row>
    <row r="48" spans="1:33" x14ac:dyDescent="0.35">
      <c r="A48">
        <v>2034</v>
      </c>
      <c r="AC48" s="41">
        <v>0.85668734806738545</v>
      </c>
      <c r="AD48" s="41">
        <v>0.13371819005753083</v>
      </c>
      <c r="AE48" s="41">
        <v>9.5944618750836153E-3</v>
      </c>
    </row>
    <row r="49" spans="1:31" x14ac:dyDescent="0.35">
      <c r="A49">
        <v>2035</v>
      </c>
      <c r="AC49" s="41">
        <v>0.85668734806738545</v>
      </c>
      <c r="AD49" s="41">
        <v>0.13371819005753083</v>
      </c>
      <c r="AE49" s="41">
        <v>9.5944618750836153E-3</v>
      </c>
    </row>
    <row r="50" spans="1:31" x14ac:dyDescent="0.35">
      <c r="A50">
        <v>2036</v>
      </c>
      <c r="AC50" s="41">
        <v>0.85668734806738545</v>
      </c>
      <c r="AD50" s="41">
        <v>0.13371819005753083</v>
      </c>
      <c r="AE50" s="41">
        <v>9.5944618750836153E-3</v>
      </c>
    </row>
    <row r="51" spans="1:31" x14ac:dyDescent="0.35">
      <c r="A51">
        <v>2037</v>
      </c>
      <c r="AC51" s="41">
        <v>0.85668734806738545</v>
      </c>
      <c r="AD51" s="41">
        <v>0.13371819005753083</v>
      </c>
      <c r="AE51" s="41">
        <v>9.5944618750836153E-3</v>
      </c>
    </row>
    <row r="52" spans="1:31" x14ac:dyDescent="0.35">
      <c r="A52">
        <v>2038</v>
      </c>
      <c r="AC52" s="41">
        <v>0.85668734806738545</v>
      </c>
      <c r="AD52" s="41">
        <v>0.13371819005753083</v>
      </c>
      <c r="AE52" s="41">
        <v>9.5944618750836153E-3</v>
      </c>
    </row>
    <row r="53" spans="1:31" x14ac:dyDescent="0.35">
      <c r="A53">
        <v>2039</v>
      </c>
      <c r="AC53" s="41">
        <v>0.85668734806738545</v>
      </c>
      <c r="AD53" s="41">
        <v>0.13371819005753083</v>
      </c>
      <c r="AE53" s="41">
        <v>9.5944618750836153E-3</v>
      </c>
    </row>
    <row r="54" spans="1:31" x14ac:dyDescent="0.35">
      <c r="A54">
        <v>2040</v>
      </c>
      <c r="AC54" s="41">
        <v>0.85668734806738545</v>
      </c>
      <c r="AD54" s="41">
        <v>0.13371819005753083</v>
      </c>
      <c r="AE54" s="41">
        <v>9.5944618750836153E-3</v>
      </c>
    </row>
    <row r="55" spans="1:31" x14ac:dyDescent="0.35">
      <c r="A55">
        <v>2041</v>
      </c>
      <c r="AC55" s="41">
        <v>0.85668734806738545</v>
      </c>
      <c r="AD55" s="41">
        <v>0.13371819005753083</v>
      </c>
      <c r="AE55" s="41">
        <v>9.5944618750836153E-3</v>
      </c>
    </row>
    <row r="56" spans="1:31" x14ac:dyDescent="0.35">
      <c r="A56">
        <v>2042</v>
      </c>
      <c r="AC56" s="41">
        <v>0.85668734806738545</v>
      </c>
      <c r="AD56" s="41">
        <v>0.13371819005753083</v>
      </c>
      <c r="AE56" s="41">
        <v>9.5944618750836153E-3</v>
      </c>
    </row>
    <row r="57" spans="1:31" x14ac:dyDescent="0.35">
      <c r="A57">
        <v>2043</v>
      </c>
      <c r="AC57" s="41">
        <v>0.85668734806738545</v>
      </c>
      <c r="AD57" s="41">
        <v>0.13371819005753083</v>
      </c>
      <c r="AE57" s="41">
        <v>9.5944618750836153E-3</v>
      </c>
    </row>
    <row r="58" spans="1:31" x14ac:dyDescent="0.35">
      <c r="A58">
        <v>2044</v>
      </c>
      <c r="AC58" s="41">
        <v>0.85668734806738545</v>
      </c>
      <c r="AD58" s="41">
        <v>0.13371819005753083</v>
      </c>
      <c r="AE58" s="41">
        <v>9.5944618750836153E-3</v>
      </c>
    </row>
    <row r="59" spans="1:31" x14ac:dyDescent="0.35">
      <c r="A59">
        <v>2045</v>
      </c>
      <c r="AC59" s="41">
        <v>0.85668734806738545</v>
      </c>
      <c r="AD59" s="41">
        <v>0.13371819005753083</v>
      </c>
      <c r="AE59" s="41">
        <v>9.5944618750836153E-3</v>
      </c>
    </row>
    <row r="60" spans="1:31" x14ac:dyDescent="0.35">
      <c r="A60">
        <v>2046</v>
      </c>
      <c r="AC60" s="41">
        <v>0.85668734806738545</v>
      </c>
      <c r="AD60" s="41">
        <v>0.13371819005753083</v>
      </c>
      <c r="AE60" s="41">
        <v>9.5944618750836153E-3</v>
      </c>
    </row>
    <row r="61" spans="1:31" x14ac:dyDescent="0.35">
      <c r="A61">
        <v>2047</v>
      </c>
      <c r="AC61" s="41">
        <v>0.85668734806738545</v>
      </c>
      <c r="AD61" s="41">
        <v>0.13371819005753083</v>
      </c>
      <c r="AE61" s="41">
        <v>9.5944618750836153E-3</v>
      </c>
    </row>
    <row r="62" spans="1:31" x14ac:dyDescent="0.35">
      <c r="A62">
        <v>2048</v>
      </c>
      <c r="AC62" s="41">
        <v>0.85668734806738545</v>
      </c>
      <c r="AD62" s="41">
        <v>0.13371819005753083</v>
      </c>
      <c r="AE62" s="41">
        <v>9.5944618750836153E-3</v>
      </c>
    </row>
    <row r="63" spans="1:31" x14ac:dyDescent="0.35">
      <c r="A63">
        <v>2049</v>
      </c>
      <c r="AC63" s="41">
        <v>0.85668734806738545</v>
      </c>
      <c r="AD63" s="41">
        <v>0.13371819005753083</v>
      </c>
      <c r="AE63" s="41">
        <v>9.5944618750836153E-3</v>
      </c>
    </row>
    <row r="64" spans="1:31" x14ac:dyDescent="0.35">
      <c r="A64">
        <v>2050</v>
      </c>
      <c r="AC64" s="41">
        <v>0.85668734806738545</v>
      </c>
      <c r="AD64" s="41">
        <v>0.13371819005753083</v>
      </c>
      <c r="AE64" s="41">
        <v>9.5944618750836153E-3</v>
      </c>
    </row>
    <row r="65" spans="1:1" x14ac:dyDescent="0.35">
      <c r="A65">
        <v>2051</v>
      </c>
    </row>
    <row r="66" spans="1:1" x14ac:dyDescent="0.35">
      <c r="A66">
        <v>2052</v>
      </c>
    </row>
    <row r="67" spans="1:1" x14ac:dyDescent="0.35">
      <c r="A67">
        <v>2053</v>
      </c>
    </row>
    <row r="68" spans="1:1" x14ac:dyDescent="0.35">
      <c r="A68">
        <v>2054</v>
      </c>
    </row>
    <row r="69" spans="1:1" x14ac:dyDescent="0.35">
      <c r="A69">
        <v>2055</v>
      </c>
    </row>
    <row r="70" spans="1:1" x14ac:dyDescent="0.35">
      <c r="A70">
        <v>2056</v>
      </c>
    </row>
    <row r="71" spans="1:1" x14ac:dyDescent="0.35">
      <c r="A71">
        <v>2057</v>
      </c>
    </row>
    <row r="72" spans="1:1" x14ac:dyDescent="0.35">
      <c r="A72">
        <v>2058</v>
      </c>
    </row>
    <row r="73" spans="1:1" x14ac:dyDescent="0.35">
      <c r="A73">
        <v>2059</v>
      </c>
    </row>
    <row r="74" spans="1:1" x14ac:dyDescent="0.35">
      <c r="A74">
        <v>2060</v>
      </c>
    </row>
    <row r="75" spans="1:1" x14ac:dyDescent="0.35">
      <c r="A75">
        <v>2061</v>
      </c>
    </row>
    <row r="76" spans="1:1" x14ac:dyDescent="0.35">
      <c r="A76">
        <v>2062</v>
      </c>
    </row>
    <row r="77" spans="1:1" x14ac:dyDescent="0.35">
      <c r="A77">
        <v>2063</v>
      </c>
    </row>
    <row r="78" spans="1:1" x14ac:dyDescent="0.35">
      <c r="A78">
        <v>2064</v>
      </c>
    </row>
    <row r="79" spans="1:1" x14ac:dyDescent="0.35">
      <c r="A79">
        <v>2065</v>
      </c>
    </row>
    <row r="80" spans="1:1" x14ac:dyDescent="0.35">
      <c r="A80">
        <v>2066</v>
      </c>
    </row>
    <row r="81" spans="1:1" x14ac:dyDescent="0.35">
      <c r="A81">
        <v>2067</v>
      </c>
    </row>
    <row r="82" spans="1:1" x14ac:dyDescent="0.35">
      <c r="A82">
        <v>2068</v>
      </c>
    </row>
    <row r="83" spans="1:1" x14ac:dyDescent="0.35">
      <c r="A83">
        <v>2069</v>
      </c>
    </row>
    <row r="84" spans="1:1" x14ac:dyDescent="0.35">
      <c r="A84">
        <v>2070</v>
      </c>
    </row>
    <row r="85" spans="1:1" x14ac:dyDescent="0.35">
      <c r="A85">
        <v>2071</v>
      </c>
    </row>
    <row r="86" spans="1:1" x14ac:dyDescent="0.35">
      <c r="A86">
        <v>2072</v>
      </c>
    </row>
    <row r="87" spans="1:1" x14ac:dyDescent="0.35">
      <c r="A87">
        <v>2073</v>
      </c>
    </row>
    <row r="88" spans="1:1" x14ac:dyDescent="0.35">
      <c r="A88">
        <v>2074</v>
      </c>
    </row>
    <row r="89" spans="1:1" x14ac:dyDescent="0.35">
      <c r="A89">
        <v>2075</v>
      </c>
    </row>
    <row r="90" spans="1:1" x14ac:dyDescent="0.35">
      <c r="A90">
        <v>2076</v>
      </c>
    </row>
    <row r="91" spans="1:1" x14ac:dyDescent="0.35">
      <c r="A91">
        <v>2077</v>
      </c>
    </row>
    <row r="92" spans="1:1" x14ac:dyDescent="0.35">
      <c r="A92">
        <v>2078</v>
      </c>
    </row>
    <row r="93" spans="1:1" x14ac:dyDescent="0.35">
      <c r="A93">
        <v>2079</v>
      </c>
    </row>
    <row r="94" spans="1:1" x14ac:dyDescent="0.35">
      <c r="A94">
        <v>2080</v>
      </c>
    </row>
    <row r="95" spans="1:1" x14ac:dyDescent="0.35">
      <c r="A95">
        <v>2081</v>
      </c>
    </row>
    <row r="96" spans="1:1" x14ac:dyDescent="0.35">
      <c r="A96">
        <v>2082</v>
      </c>
    </row>
    <row r="97" spans="1:1" x14ac:dyDescent="0.35">
      <c r="A97">
        <v>2083</v>
      </c>
    </row>
    <row r="98" spans="1:1" x14ac:dyDescent="0.35">
      <c r="A98">
        <v>2084</v>
      </c>
    </row>
    <row r="99" spans="1:1" x14ac:dyDescent="0.35">
      <c r="A99">
        <v>2085</v>
      </c>
    </row>
    <row r="100" spans="1:1" x14ac:dyDescent="0.35">
      <c r="A100">
        <v>2086</v>
      </c>
    </row>
    <row r="101" spans="1:1" x14ac:dyDescent="0.35">
      <c r="A101">
        <v>2087</v>
      </c>
    </row>
    <row r="102" spans="1:1" x14ac:dyDescent="0.35">
      <c r="A102">
        <v>2088</v>
      </c>
    </row>
    <row r="103" spans="1:1" x14ac:dyDescent="0.35">
      <c r="A103">
        <v>2089</v>
      </c>
    </row>
    <row r="104" spans="1:1" x14ac:dyDescent="0.35">
      <c r="A104">
        <v>2090</v>
      </c>
    </row>
    <row r="105" spans="1:1" x14ac:dyDescent="0.35">
      <c r="A105">
        <v>2091</v>
      </c>
    </row>
    <row r="106" spans="1:1" x14ac:dyDescent="0.35">
      <c r="A106">
        <v>2092</v>
      </c>
    </row>
    <row r="107" spans="1:1" x14ac:dyDescent="0.35">
      <c r="A107">
        <v>2093</v>
      </c>
    </row>
    <row r="108" spans="1:1" x14ac:dyDescent="0.35">
      <c r="A108">
        <v>2094</v>
      </c>
    </row>
    <row r="109" spans="1:1" x14ac:dyDescent="0.35">
      <c r="A109">
        <v>2095</v>
      </c>
    </row>
    <row r="110" spans="1:1" x14ac:dyDescent="0.35">
      <c r="A110">
        <v>2096</v>
      </c>
    </row>
    <row r="111" spans="1:1" x14ac:dyDescent="0.35">
      <c r="A111">
        <v>2097</v>
      </c>
    </row>
    <row r="112" spans="1:1" x14ac:dyDescent="0.35">
      <c r="A112">
        <v>2098</v>
      </c>
    </row>
    <row r="113" spans="1:1" x14ac:dyDescent="0.35">
      <c r="A113">
        <v>2099</v>
      </c>
    </row>
    <row r="114" spans="1:1" x14ac:dyDescent="0.35">
      <c r="A114">
        <v>2100</v>
      </c>
    </row>
  </sheetData>
  <phoneticPr fontId="7" type="noConversion"/>
  <hyperlinks>
    <hyperlink ref="M35" r:id="rId1" display="https://doi.org/10.1016/j.resconrec.2023.107391" xr:uid="{C91B04C4-6F06-46FC-95C3-9BE3E8D63B79}"/>
    <hyperlink ref="D29" r:id="rId2" display="https://doi.org/10.1016/j.resconrec.2023.107391" xr:uid="{46E41433-83E9-41D0-81BF-194345B4E180}"/>
    <hyperlink ref="D30" r:id="rId3" display="https://doi.org/10.1016/j.resconrec.2023.107391" xr:uid="{834D0FB7-3EFD-43D3-9B68-EB35F321DE1A}"/>
    <hyperlink ref="N39" r:id="rId4" xr:uid="{7B120840-CD9C-400D-9838-2232DE7268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B5FD-02A7-4220-AE14-32AAECAEAC50}">
  <dimension ref="A1:J30"/>
  <sheetViews>
    <sheetView zoomScale="80" zoomScaleNormal="80" workbookViewId="0">
      <selection activeCell="B20" sqref="B20:B30"/>
    </sheetView>
  </sheetViews>
  <sheetFormatPr defaultRowHeight="14.5" x14ac:dyDescent="0.35"/>
  <cols>
    <col min="2" max="2" width="10.81640625" customWidth="1"/>
    <col min="3" max="3" width="12" customWidth="1"/>
    <col min="4" max="4" width="9.36328125" customWidth="1"/>
    <col min="5" max="5" width="14.7265625" customWidth="1"/>
    <col min="6" max="6" width="11.26953125" customWidth="1"/>
    <col min="7" max="7" width="5.08984375" bestFit="1" customWidth="1"/>
    <col min="8" max="8" width="6.08984375" bestFit="1" customWidth="1"/>
  </cols>
  <sheetData>
    <row r="1" spans="1:10" x14ac:dyDescent="0.35">
      <c r="A1" t="s">
        <v>60</v>
      </c>
      <c r="B1" t="s">
        <v>59</v>
      </c>
    </row>
    <row r="2" spans="1:10" x14ac:dyDescent="0.35">
      <c r="B2" s="35" t="s">
        <v>68</v>
      </c>
      <c r="C2" s="35"/>
      <c r="D2" s="35"/>
      <c r="E2" s="35"/>
    </row>
    <row r="3" spans="1:10" x14ac:dyDescent="0.35">
      <c r="B3" t="s">
        <v>54</v>
      </c>
      <c r="C3" t="s">
        <v>55</v>
      </c>
      <c r="D3" t="s">
        <v>56</v>
      </c>
      <c r="E3" t="s">
        <v>58</v>
      </c>
      <c r="F3" t="s">
        <v>54</v>
      </c>
      <c r="G3" s="22" t="s">
        <v>55</v>
      </c>
      <c r="H3" t="s">
        <v>56</v>
      </c>
      <c r="J3" t="s">
        <v>90</v>
      </c>
    </row>
    <row r="4" spans="1:10" x14ac:dyDescent="0.35">
      <c r="A4">
        <v>2018</v>
      </c>
      <c r="B4">
        <v>0.4</v>
      </c>
      <c r="C4">
        <v>0</v>
      </c>
      <c r="D4">
        <v>15.7</v>
      </c>
      <c r="E4">
        <f>SUM(B4:D4)</f>
        <v>16.099999999999998</v>
      </c>
      <c r="F4" s="5">
        <f>B4/$E4</f>
        <v>2.4844720496894415E-2</v>
      </c>
      <c r="G4" s="23">
        <f t="shared" ref="G4:H4" si="0">C4/$E4</f>
        <v>0</v>
      </c>
      <c r="H4" s="6">
        <f t="shared" si="0"/>
        <v>0.97515527950310565</v>
      </c>
    </row>
    <row r="5" spans="1:10" x14ac:dyDescent="0.35">
      <c r="A5">
        <v>2019</v>
      </c>
      <c r="B5">
        <v>0.6</v>
      </c>
      <c r="C5">
        <v>0.01</v>
      </c>
      <c r="D5">
        <v>16.5</v>
      </c>
      <c r="E5">
        <f t="shared" ref="E5:E14" si="1">SUM(B5:D5)</f>
        <v>17.11</v>
      </c>
      <c r="F5" s="7">
        <f t="shared" ref="F5:F14" si="2">B5/$E5</f>
        <v>3.5067212156633547E-2</v>
      </c>
      <c r="G5" s="24">
        <f t="shared" ref="G5:G14" si="3">C5/$E5</f>
        <v>5.8445353594389253E-4</v>
      </c>
      <c r="H5" s="8">
        <f t="shared" ref="H5:H14" si="4">D5/$E5</f>
        <v>0.96434833430742262</v>
      </c>
    </row>
    <row r="6" spans="1:10" x14ac:dyDescent="0.35">
      <c r="A6">
        <v>2020</v>
      </c>
      <c r="B6">
        <v>0.7</v>
      </c>
      <c r="C6">
        <v>0.02</v>
      </c>
      <c r="D6">
        <v>16.5</v>
      </c>
      <c r="E6">
        <f t="shared" si="1"/>
        <v>17.22</v>
      </c>
      <c r="F6" s="7">
        <f t="shared" si="2"/>
        <v>4.065040650406504E-2</v>
      </c>
      <c r="G6" s="24">
        <f t="shared" si="3"/>
        <v>1.1614401858304297E-3</v>
      </c>
      <c r="H6" s="8">
        <f t="shared" si="4"/>
        <v>0.95818815331010454</v>
      </c>
    </row>
    <row r="7" spans="1:10" x14ac:dyDescent="0.35">
      <c r="A7">
        <v>2021</v>
      </c>
      <c r="B7">
        <v>1.2</v>
      </c>
      <c r="C7">
        <v>0.1</v>
      </c>
      <c r="D7">
        <v>18.100000000000001</v>
      </c>
      <c r="E7">
        <f t="shared" si="1"/>
        <v>19.400000000000002</v>
      </c>
      <c r="F7" s="7">
        <f t="shared" si="2"/>
        <v>6.1855670103092772E-2</v>
      </c>
      <c r="G7" s="24">
        <f t="shared" si="3"/>
        <v>5.1546391752577319E-3</v>
      </c>
      <c r="H7" s="8">
        <f t="shared" si="4"/>
        <v>0.9329896907216495</v>
      </c>
    </row>
    <row r="8" spans="1:10" x14ac:dyDescent="0.35">
      <c r="A8">
        <v>2022</v>
      </c>
      <c r="B8">
        <v>1.9</v>
      </c>
      <c r="C8">
        <v>0.1</v>
      </c>
      <c r="D8">
        <v>19.3</v>
      </c>
      <c r="E8">
        <f t="shared" si="1"/>
        <v>21.3</v>
      </c>
      <c r="F8" s="7">
        <f t="shared" si="2"/>
        <v>8.9201877934272297E-2</v>
      </c>
      <c r="G8" s="24">
        <f t="shared" si="3"/>
        <v>4.6948356807511738E-3</v>
      </c>
      <c r="H8" s="8">
        <f t="shared" si="4"/>
        <v>0.9061032863849765</v>
      </c>
    </row>
    <row r="9" spans="1:10" x14ac:dyDescent="0.35">
      <c r="A9">
        <v>2023</v>
      </c>
      <c r="B9">
        <v>2.9</v>
      </c>
      <c r="C9">
        <v>0.1</v>
      </c>
      <c r="D9">
        <v>20</v>
      </c>
      <c r="E9">
        <f t="shared" si="1"/>
        <v>23</v>
      </c>
      <c r="F9" s="7">
        <f t="shared" si="2"/>
        <v>0.12608695652173912</v>
      </c>
      <c r="G9" s="24">
        <f t="shared" si="3"/>
        <v>4.3478260869565218E-3</v>
      </c>
      <c r="H9" s="8">
        <f t="shared" si="4"/>
        <v>0.86956521739130432</v>
      </c>
    </row>
    <row r="10" spans="1:10" x14ac:dyDescent="0.35">
      <c r="A10">
        <v>2024</v>
      </c>
      <c r="B10">
        <v>4</v>
      </c>
      <c r="C10">
        <v>0.2</v>
      </c>
      <c r="D10">
        <v>21</v>
      </c>
      <c r="E10">
        <f t="shared" si="1"/>
        <v>25.2</v>
      </c>
      <c r="F10" s="7">
        <f t="shared" si="2"/>
        <v>0.15873015873015872</v>
      </c>
      <c r="G10" s="24">
        <f t="shared" si="3"/>
        <v>7.9365079365079378E-3</v>
      </c>
      <c r="H10" s="8">
        <f t="shared" si="4"/>
        <v>0.83333333333333337</v>
      </c>
    </row>
    <row r="11" spans="1:10" x14ac:dyDescent="0.35">
      <c r="A11">
        <v>2025</v>
      </c>
      <c r="B11">
        <v>5.2</v>
      </c>
      <c r="C11">
        <v>0.3</v>
      </c>
      <c r="D11">
        <v>22</v>
      </c>
      <c r="E11">
        <f t="shared" si="1"/>
        <v>27.5</v>
      </c>
      <c r="F11" s="7">
        <f t="shared" si="2"/>
        <v>0.18909090909090909</v>
      </c>
      <c r="G11" s="24">
        <f t="shared" si="3"/>
        <v>1.0909090909090908E-2</v>
      </c>
      <c r="H11" s="8">
        <f t="shared" si="4"/>
        <v>0.8</v>
      </c>
    </row>
    <row r="12" spans="1:10" x14ac:dyDescent="0.35">
      <c r="A12">
        <v>2026</v>
      </c>
      <c r="B12">
        <v>6.4</v>
      </c>
      <c r="C12">
        <v>0.5</v>
      </c>
      <c r="D12">
        <v>23</v>
      </c>
      <c r="E12">
        <f t="shared" si="1"/>
        <v>29.9</v>
      </c>
      <c r="F12" s="7">
        <f t="shared" si="2"/>
        <v>0.21404682274247494</v>
      </c>
      <c r="G12" s="24">
        <f t="shared" si="3"/>
        <v>1.6722408026755852E-2</v>
      </c>
      <c r="H12" s="8">
        <f t="shared" si="4"/>
        <v>0.76923076923076927</v>
      </c>
    </row>
    <row r="13" spans="1:10" x14ac:dyDescent="0.35">
      <c r="A13">
        <v>2027</v>
      </c>
      <c r="B13">
        <v>7.8</v>
      </c>
      <c r="C13">
        <v>0.7</v>
      </c>
      <c r="D13">
        <v>23.7</v>
      </c>
      <c r="E13">
        <f t="shared" si="1"/>
        <v>32.200000000000003</v>
      </c>
      <c r="F13" s="7">
        <f t="shared" si="2"/>
        <v>0.24223602484472048</v>
      </c>
      <c r="G13" s="24">
        <f t="shared" si="3"/>
        <v>2.1739130434782605E-2</v>
      </c>
      <c r="H13" s="8">
        <f t="shared" si="4"/>
        <v>0.73602484472049678</v>
      </c>
    </row>
    <row r="14" spans="1:10" x14ac:dyDescent="0.35">
      <c r="A14">
        <v>2028</v>
      </c>
      <c r="B14">
        <v>9.4</v>
      </c>
      <c r="C14">
        <v>1</v>
      </c>
      <c r="D14">
        <v>24</v>
      </c>
      <c r="E14">
        <f t="shared" si="1"/>
        <v>34.4</v>
      </c>
      <c r="F14" s="9">
        <f t="shared" si="2"/>
        <v>0.27325581395348841</v>
      </c>
      <c r="G14" s="25">
        <f t="shared" si="3"/>
        <v>2.9069767441860465E-2</v>
      </c>
      <c r="H14" s="10">
        <f t="shared" si="4"/>
        <v>0.69767441860465118</v>
      </c>
    </row>
    <row r="15" spans="1:10" x14ac:dyDescent="0.35">
      <c r="C15" t="s">
        <v>57</v>
      </c>
    </row>
    <row r="17" spans="1:6" x14ac:dyDescent="0.35">
      <c r="A17" t="s">
        <v>65</v>
      </c>
      <c r="B17" t="s">
        <v>61</v>
      </c>
    </row>
    <row r="18" spans="1:6" x14ac:dyDescent="0.35">
      <c r="B18" s="35" t="s">
        <v>62</v>
      </c>
      <c r="C18" s="35"/>
      <c r="D18" t="s">
        <v>64</v>
      </c>
    </row>
    <row r="19" spans="1:6" x14ac:dyDescent="0.35">
      <c r="B19" t="s">
        <v>70</v>
      </c>
      <c r="C19" s="11" t="s">
        <v>69</v>
      </c>
      <c r="D19" t="s">
        <v>63</v>
      </c>
      <c r="E19" s="11" t="s">
        <v>66</v>
      </c>
      <c r="F19" t="s">
        <v>67</v>
      </c>
    </row>
    <row r="20" spans="1:6" x14ac:dyDescent="0.35">
      <c r="A20">
        <v>2018</v>
      </c>
      <c r="B20" s="26">
        <f>C20/F20</f>
        <v>3.1809145129224651E-5</v>
      </c>
      <c r="C20" s="11">
        <v>0.4</v>
      </c>
      <c r="D20">
        <v>4</v>
      </c>
      <c r="E20" s="11">
        <v>170</v>
      </c>
      <c r="F20">
        <v>12575</v>
      </c>
    </row>
    <row r="21" spans="1:6" x14ac:dyDescent="0.35">
      <c r="A21">
        <v>2019</v>
      </c>
      <c r="B21" s="26">
        <f t="shared" ref="B21:B30" si="5">C21/F21</f>
        <v>3.0434451799436964E-5</v>
      </c>
      <c r="C21" s="11">
        <v>0.4</v>
      </c>
      <c r="D21">
        <v>9</v>
      </c>
      <c r="E21" s="11">
        <v>209</v>
      </c>
      <c r="F21">
        <v>13143</v>
      </c>
    </row>
    <row r="22" spans="1:6" x14ac:dyDescent="0.35">
      <c r="A22">
        <v>2020</v>
      </c>
      <c r="B22" s="26">
        <f t="shared" si="5"/>
        <v>5.4192149880003095E-5</v>
      </c>
      <c r="C22" s="11">
        <v>0.7</v>
      </c>
      <c r="D22">
        <v>24</v>
      </c>
      <c r="E22" s="11">
        <v>212</v>
      </c>
      <c r="F22">
        <v>12917</v>
      </c>
    </row>
    <row r="23" spans="1:6" x14ac:dyDescent="0.35">
      <c r="A23">
        <v>2021</v>
      </c>
      <c r="B23" s="26">
        <f t="shared" si="5"/>
        <v>8.058017727639001E-5</v>
      </c>
      <c r="C23" s="11">
        <v>1.1000000000000001</v>
      </c>
      <c r="D23">
        <v>66</v>
      </c>
      <c r="E23" s="11">
        <v>288</v>
      </c>
      <c r="F23">
        <v>13651</v>
      </c>
    </row>
    <row r="24" spans="1:6" x14ac:dyDescent="0.35">
      <c r="A24">
        <v>2022</v>
      </c>
      <c r="B24" s="26">
        <f t="shared" si="5"/>
        <v>1.9553072625698323E-4</v>
      </c>
      <c r="C24" s="11">
        <v>2.8</v>
      </c>
      <c r="D24">
        <v>93</v>
      </c>
      <c r="E24" s="11">
        <v>409</v>
      </c>
      <c r="F24">
        <v>14320</v>
      </c>
    </row>
    <row r="25" spans="1:6" x14ac:dyDescent="0.35">
      <c r="A25">
        <v>2023</v>
      </c>
      <c r="B25" s="26">
        <f t="shared" si="5"/>
        <v>3.3690869086908695E-4</v>
      </c>
      <c r="C25" s="11">
        <v>4.9000000000000004</v>
      </c>
      <c r="D25">
        <v>148</v>
      </c>
      <c r="E25" s="11">
        <v>510</v>
      </c>
      <c r="F25">
        <v>14544</v>
      </c>
    </row>
    <row r="26" spans="1:6" x14ac:dyDescent="0.35">
      <c r="A26">
        <v>2024</v>
      </c>
      <c r="B26" s="26">
        <f t="shared" si="5"/>
        <v>4.8114948589506984E-4</v>
      </c>
      <c r="C26" s="11">
        <v>7.3</v>
      </c>
      <c r="D26">
        <v>183</v>
      </c>
      <c r="E26" s="11">
        <v>576</v>
      </c>
      <c r="F26">
        <v>15172</v>
      </c>
    </row>
    <row r="27" spans="1:6" x14ac:dyDescent="0.35">
      <c r="A27">
        <v>2025</v>
      </c>
      <c r="B27" s="26">
        <f t="shared" si="5"/>
        <v>6.5715358618099887E-4</v>
      </c>
      <c r="C27" s="11">
        <v>10.5</v>
      </c>
      <c r="D27">
        <v>295</v>
      </c>
      <c r="E27" s="11">
        <v>626</v>
      </c>
      <c r="F27">
        <v>15978</v>
      </c>
    </row>
    <row r="28" spans="1:6" x14ac:dyDescent="0.35">
      <c r="A28">
        <v>2026</v>
      </c>
      <c r="B28" s="26">
        <f t="shared" si="5"/>
        <v>9.1846409101682864E-4</v>
      </c>
      <c r="C28" s="11">
        <v>15.5</v>
      </c>
      <c r="D28">
        <v>482</v>
      </c>
      <c r="E28" s="11">
        <v>675</v>
      </c>
      <c r="F28">
        <v>16876</v>
      </c>
    </row>
    <row r="29" spans="1:6" x14ac:dyDescent="0.35">
      <c r="A29">
        <v>2027</v>
      </c>
      <c r="B29" s="26">
        <f t="shared" si="5"/>
        <v>1.028306683993446E-3</v>
      </c>
      <c r="C29" s="11">
        <v>18.2</v>
      </c>
      <c r="D29">
        <v>691</v>
      </c>
      <c r="E29" s="11">
        <v>721</v>
      </c>
      <c r="F29">
        <v>17699</v>
      </c>
    </row>
    <row r="30" spans="1:6" x14ac:dyDescent="0.35">
      <c r="A30">
        <v>2028</v>
      </c>
      <c r="B30" s="26">
        <f t="shared" si="5"/>
        <v>1.1831442463533224E-3</v>
      </c>
      <c r="C30" s="11">
        <v>21.9</v>
      </c>
      <c r="D30">
        <v>991</v>
      </c>
      <c r="E30" s="11">
        <v>759</v>
      </c>
      <c r="F30">
        <v>18510</v>
      </c>
    </row>
  </sheetData>
  <mergeCells count="2">
    <mergeCell ref="B2:E2"/>
    <mergeCell ref="B18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308E-7B61-42DF-B4D3-D4FC1F1DABBA}">
  <dimension ref="A1:Y181"/>
  <sheetViews>
    <sheetView workbookViewId="0">
      <pane ySplit="14" topLeftCell="A15" activePane="bottomLeft" state="frozen"/>
      <selection pane="bottomLeft" activeCell="T3" sqref="T3"/>
    </sheetView>
  </sheetViews>
  <sheetFormatPr defaultRowHeight="14.5" x14ac:dyDescent="0.35"/>
  <cols>
    <col min="2" max="2" width="15" customWidth="1"/>
    <col min="3" max="3" width="12.7265625" customWidth="1"/>
    <col min="4" max="4" width="15.81640625" customWidth="1"/>
    <col min="5" max="5" width="15.26953125" customWidth="1"/>
    <col min="8" max="8" width="2.26953125" customWidth="1"/>
    <col min="9" max="9" width="13.26953125" customWidth="1"/>
    <col min="12" max="12" width="14.453125" customWidth="1"/>
    <col min="13" max="13" width="13.26953125" customWidth="1"/>
    <col min="14" max="15" width="16.54296875" customWidth="1"/>
    <col min="16" max="16" width="9.1796875" customWidth="1"/>
    <col min="17" max="17" width="10.36328125" bestFit="1" customWidth="1"/>
    <col min="18" max="18" width="11.7265625" customWidth="1"/>
    <col min="19" max="19" width="9" customWidth="1"/>
    <col min="20" max="20" width="10.36328125" customWidth="1"/>
  </cols>
  <sheetData>
    <row r="1" spans="1:22" x14ac:dyDescent="0.35">
      <c r="B1" s="35" t="s">
        <v>159</v>
      </c>
      <c r="C1" s="35"/>
      <c r="D1" s="35"/>
      <c r="E1" s="35"/>
      <c r="F1" s="35"/>
      <c r="G1" s="35"/>
      <c r="I1" s="35" t="s">
        <v>163</v>
      </c>
      <c r="J1" s="35"/>
      <c r="K1" s="35"/>
      <c r="M1" t="s">
        <v>164</v>
      </c>
      <c r="T1" s="35" t="s">
        <v>167</v>
      </c>
      <c r="U1" s="35"/>
      <c r="V1" s="35"/>
    </row>
    <row r="2" spans="1:22" x14ac:dyDescent="0.35">
      <c r="B2" s="4"/>
      <c r="C2" s="4"/>
      <c r="D2" s="4"/>
      <c r="E2" s="4"/>
      <c r="F2" s="4"/>
      <c r="G2" s="4"/>
      <c r="I2" s="4"/>
      <c r="J2" s="4"/>
      <c r="K2" s="4"/>
      <c r="L2" t="s">
        <v>165</v>
      </c>
      <c r="M2">
        <f>1600/1000000</f>
        <v>1.6000000000000001E-3</v>
      </c>
      <c r="N2">
        <f>10/1000</f>
        <v>0.01</v>
      </c>
      <c r="O2">
        <f>10/1000</f>
        <v>0.01</v>
      </c>
      <c r="P2">
        <v>1</v>
      </c>
      <c r="Q2">
        <f>1600/1000000</f>
        <v>1.6000000000000001E-3</v>
      </c>
    </row>
    <row r="3" spans="1:22" ht="29" x14ac:dyDescent="0.35">
      <c r="B3" s="29" t="s">
        <v>160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I3" t="s">
        <v>154</v>
      </c>
      <c r="J3" t="s">
        <v>161</v>
      </c>
      <c r="K3" t="s">
        <v>157</v>
      </c>
      <c r="M3" t="s">
        <v>154</v>
      </c>
      <c r="N3" t="s">
        <v>155</v>
      </c>
      <c r="O3" t="s">
        <v>156</v>
      </c>
      <c r="P3" t="s">
        <v>157</v>
      </c>
      <c r="Q3" t="s">
        <v>158</v>
      </c>
      <c r="R3" t="s">
        <v>166</v>
      </c>
      <c r="T3" t="s">
        <v>154</v>
      </c>
      <c r="U3" t="s">
        <v>161</v>
      </c>
      <c r="V3" t="s">
        <v>157</v>
      </c>
    </row>
    <row r="4" spans="1:22" x14ac:dyDescent="0.35">
      <c r="A4">
        <v>2015</v>
      </c>
      <c r="B4" s="30">
        <f>D181</f>
        <v>9904</v>
      </c>
      <c r="C4" s="30">
        <f>H181</f>
        <v>1516</v>
      </c>
      <c r="D4" s="30">
        <f>L181</f>
        <v>2120</v>
      </c>
      <c r="E4" s="30">
        <f>P181</f>
        <v>1105</v>
      </c>
      <c r="F4" s="30">
        <f>T181</f>
        <v>6190</v>
      </c>
      <c r="G4" s="30">
        <v>0</v>
      </c>
      <c r="I4" s="31">
        <f>(C4+G4)/B4</f>
        <v>0.15306946688206785</v>
      </c>
      <c r="J4" s="31">
        <f>(D4+E4)/B4</f>
        <v>0.32562600969305333</v>
      </c>
      <c r="K4" s="31">
        <f>F4/B4</f>
        <v>0.625</v>
      </c>
      <c r="M4" s="33">
        <f t="shared" ref="M4:M12" si="0">C4/M$2</f>
        <v>947500</v>
      </c>
      <c r="N4" s="33">
        <f t="shared" ref="N4:N12" si="1">D4/N$2</f>
        <v>212000</v>
      </c>
      <c r="O4" s="33">
        <f t="shared" ref="O4:O12" si="2">E4/O$2</f>
        <v>110500</v>
      </c>
      <c r="P4" s="33">
        <f t="shared" ref="P4:P12" si="3">F4/P$2</f>
        <v>6190</v>
      </c>
      <c r="Q4" s="33">
        <f t="shared" ref="Q4:Q12" si="4">G4/Q$2</f>
        <v>0</v>
      </c>
      <c r="R4" s="33">
        <f>SUM(M4:Q4)</f>
        <v>1276190</v>
      </c>
      <c r="T4" s="31">
        <f>(Q4+M4)/R4</f>
        <v>0.74244430688220409</v>
      </c>
      <c r="U4" s="31">
        <f>(N4+O4)/R4</f>
        <v>0.25270531817362618</v>
      </c>
      <c r="V4" s="34">
        <f>P4/R4</f>
        <v>4.8503749441697556E-3</v>
      </c>
    </row>
    <row r="5" spans="1:22" x14ac:dyDescent="0.35">
      <c r="A5">
        <v>2016</v>
      </c>
      <c r="B5" s="30">
        <f>D164</f>
        <v>13817</v>
      </c>
      <c r="C5" s="30">
        <f>H164</f>
        <v>1923</v>
      </c>
      <c r="D5" s="30">
        <f>L164</f>
        <v>1829</v>
      </c>
      <c r="E5" s="30">
        <f>P164</f>
        <v>2025</v>
      </c>
      <c r="F5" s="30">
        <f>T164</f>
        <v>9194</v>
      </c>
      <c r="G5" s="30">
        <v>0</v>
      </c>
      <c r="I5" s="31">
        <f t="shared" ref="I5:I12" si="5">(C5+G5)/B5</f>
        <v>0.13917637692697402</v>
      </c>
      <c r="J5" s="31">
        <f t="shared" ref="J5:J12" si="6">(D5+E5)/B5</f>
        <v>0.27893175074183979</v>
      </c>
      <c r="K5" s="31">
        <f t="shared" ref="K5:K12" si="7">F5/B5</f>
        <v>0.66541217340956793</v>
      </c>
      <c r="M5" s="33">
        <f t="shared" si="0"/>
        <v>1201875</v>
      </c>
      <c r="N5" s="33">
        <f t="shared" si="1"/>
        <v>182900</v>
      </c>
      <c r="O5" s="33">
        <f t="shared" si="2"/>
        <v>202500</v>
      </c>
      <c r="P5" s="33">
        <f t="shared" si="3"/>
        <v>9194</v>
      </c>
      <c r="Q5" s="33">
        <f t="shared" si="4"/>
        <v>0</v>
      </c>
      <c r="R5" s="33">
        <f t="shared" ref="R5:R12" si="8">SUM(M5:Q5)</f>
        <v>1596469</v>
      </c>
      <c r="T5" s="31">
        <f t="shared" ref="T5:T12" si="9">(Q5+M5)/R5</f>
        <v>0.75283328395352489</v>
      </c>
      <c r="U5" s="31">
        <f t="shared" ref="U5:U12" si="10">(N5+O5)/R5</f>
        <v>0.24140775674316256</v>
      </c>
      <c r="V5" s="34">
        <f t="shared" ref="V5:V12" si="11">P5/R5</f>
        <v>5.7589593033124976E-3</v>
      </c>
    </row>
    <row r="6" spans="1:22" x14ac:dyDescent="0.35">
      <c r="A6">
        <v>2017</v>
      </c>
      <c r="B6" s="30">
        <f>D145</f>
        <v>9600</v>
      </c>
      <c r="C6" s="30">
        <f>H145</f>
        <v>2064</v>
      </c>
      <c r="D6" s="30">
        <f>L145</f>
        <v>1664</v>
      </c>
      <c r="E6" s="30">
        <f>P145</f>
        <v>2283</v>
      </c>
      <c r="F6" s="30">
        <f>T145</f>
        <v>4851</v>
      </c>
      <c r="G6" s="30">
        <v>0</v>
      </c>
      <c r="I6" s="31">
        <f t="shared" si="5"/>
        <v>0.215</v>
      </c>
      <c r="J6" s="31">
        <f t="shared" si="6"/>
        <v>0.41114583333333332</v>
      </c>
      <c r="K6" s="31">
        <f t="shared" si="7"/>
        <v>0.50531250000000005</v>
      </c>
      <c r="M6" s="33">
        <f t="shared" si="0"/>
        <v>1290000</v>
      </c>
      <c r="N6" s="33">
        <f t="shared" si="1"/>
        <v>166400</v>
      </c>
      <c r="O6" s="33">
        <f t="shared" si="2"/>
        <v>228300</v>
      </c>
      <c r="P6" s="33">
        <f t="shared" si="3"/>
        <v>4851</v>
      </c>
      <c r="Q6" s="33">
        <f t="shared" si="4"/>
        <v>0</v>
      </c>
      <c r="R6" s="33">
        <f t="shared" si="8"/>
        <v>1689551</v>
      </c>
      <c r="T6" s="31">
        <f t="shared" si="9"/>
        <v>0.7635164608822107</v>
      </c>
      <c r="U6" s="31">
        <f t="shared" si="10"/>
        <v>0.23361236210093689</v>
      </c>
      <c r="V6" s="34">
        <f t="shared" si="11"/>
        <v>2.8711770168524066E-3</v>
      </c>
    </row>
    <row r="7" spans="1:22" x14ac:dyDescent="0.35">
      <c r="A7">
        <v>2018</v>
      </c>
      <c r="B7" s="30">
        <f>D122</f>
        <v>11583.952555</v>
      </c>
      <c r="C7" s="30">
        <f>H122</f>
        <v>2651.4248549999998</v>
      </c>
      <c r="D7" s="30">
        <f>L122</f>
        <v>1876.7811999999999</v>
      </c>
      <c r="E7" s="30">
        <f>P122</f>
        <v>2807.2974000000004</v>
      </c>
      <c r="F7" s="30">
        <f>T122</f>
        <v>5917.5950000000003</v>
      </c>
      <c r="G7" s="30">
        <v>0</v>
      </c>
      <c r="I7" s="31">
        <f t="shared" si="5"/>
        <v>0.22888775160388247</v>
      </c>
      <c r="J7" s="31">
        <f t="shared" si="6"/>
        <v>0.4043592700988925</v>
      </c>
      <c r="K7" s="31">
        <f t="shared" si="7"/>
        <v>0.51084420208936188</v>
      </c>
      <c r="M7" s="33">
        <f t="shared" si="0"/>
        <v>1657140.5343749998</v>
      </c>
      <c r="N7" s="33">
        <f t="shared" si="1"/>
        <v>187678.12</v>
      </c>
      <c r="O7" s="33">
        <f t="shared" si="2"/>
        <v>280729.74000000005</v>
      </c>
      <c r="P7" s="33">
        <f t="shared" si="3"/>
        <v>5917.5950000000003</v>
      </c>
      <c r="Q7" s="33">
        <f t="shared" si="4"/>
        <v>0</v>
      </c>
      <c r="R7" s="33">
        <f t="shared" si="8"/>
        <v>2131465.9893750004</v>
      </c>
      <c r="T7" s="31">
        <f t="shared" si="9"/>
        <v>0.77746515432831997</v>
      </c>
      <c r="U7" s="31">
        <f t="shared" si="10"/>
        <v>0.21975854286905561</v>
      </c>
      <c r="V7" s="34">
        <f t="shared" si="11"/>
        <v>2.776302802624211E-3</v>
      </c>
    </row>
    <row r="8" spans="1:22" x14ac:dyDescent="0.35">
      <c r="A8">
        <v>2019</v>
      </c>
      <c r="B8" s="30">
        <f>D103</f>
        <v>18470.21</v>
      </c>
      <c r="C8" s="30">
        <f>H103</f>
        <v>3821.49</v>
      </c>
      <c r="D8" s="30">
        <f>L103</f>
        <v>2277.16</v>
      </c>
      <c r="E8" s="30">
        <f>P103</f>
        <v>3260.96</v>
      </c>
      <c r="F8" s="30">
        <f>T103</f>
        <v>11319.04</v>
      </c>
      <c r="G8" s="30">
        <f>Y103</f>
        <v>124.04</v>
      </c>
      <c r="I8" s="31">
        <f t="shared" si="5"/>
        <v>0.21361587117850853</v>
      </c>
      <c r="J8" s="31">
        <f t="shared" si="6"/>
        <v>0.29984066234222567</v>
      </c>
      <c r="K8" s="31">
        <f t="shared" si="7"/>
        <v>0.61282681680392381</v>
      </c>
      <c r="M8" s="33">
        <f t="shared" si="0"/>
        <v>2388431.2499999995</v>
      </c>
      <c r="N8" s="33">
        <f t="shared" si="1"/>
        <v>227715.99999999997</v>
      </c>
      <c r="O8" s="33">
        <f t="shared" si="2"/>
        <v>326096</v>
      </c>
      <c r="P8" s="33">
        <f t="shared" si="3"/>
        <v>11319.04</v>
      </c>
      <c r="Q8" s="33">
        <f t="shared" si="4"/>
        <v>77525</v>
      </c>
      <c r="R8" s="33">
        <f t="shared" si="8"/>
        <v>3031087.2899999996</v>
      </c>
      <c r="T8" s="31">
        <f t="shared" si="9"/>
        <v>0.81355500982619333</v>
      </c>
      <c r="U8" s="31">
        <f t="shared" si="10"/>
        <v>0.18271067343626388</v>
      </c>
      <c r="V8" s="34">
        <f t="shared" si="11"/>
        <v>3.7343167375427193E-3</v>
      </c>
    </row>
    <row r="9" spans="1:22" x14ac:dyDescent="0.35">
      <c r="A9">
        <v>2020</v>
      </c>
      <c r="B9" s="30">
        <f>D87</f>
        <v>30854.86</v>
      </c>
      <c r="C9" s="30">
        <f>H87</f>
        <v>4039.47</v>
      </c>
      <c r="D9" s="30">
        <f>L87</f>
        <v>1912.89</v>
      </c>
      <c r="E9" s="30">
        <f>P87</f>
        <v>3935.58</v>
      </c>
      <c r="F9" s="30">
        <f>T87</f>
        <v>23221.3</v>
      </c>
      <c r="G9" s="30">
        <f>Y87</f>
        <v>194.08</v>
      </c>
      <c r="I9" s="31">
        <f t="shared" si="5"/>
        <v>0.13720853051998941</v>
      </c>
      <c r="J9" s="31">
        <f t="shared" si="6"/>
        <v>0.1895477730250599</v>
      </c>
      <c r="K9" s="31">
        <f t="shared" si="7"/>
        <v>0.75259780793041997</v>
      </c>
      <c r="M9" s="33">
        <f t="shared" si="0"/>
        <v>2524668.7499999995</v>
      </c>
      <c r="N9" s="33">
        <f t="shared" si="1"/>
        <v>191289</v>
      </c>
      <c r="O9" s="33">
        <f t="shared" si="2"/>
        <v>393558</v>
      </c>
      <c r="P9" s="33">
        <f t="shared" si="3"/>
        <v>23221.3</v>
      </c>
      <c r="Q9" s="33">
        <f t="shared" si="4"/>
        <v>121300</v>
      </c>
      <c r="R9" s="33">
        <f t="shared" si="8"/>
        <v>3254037.0499999993</v>
      </c>
      <c r="T9" s="31">
        <f t="shared" si="9"/>
        <v>0.81313418050971487</v>
      </c>
      <c r="U9" s="31">
        <f t="shared" si="10"/>
        <v>0.17972966841296417</v>
      </c>
      <c r="V9" s="34">
        <f t="shared" si="11"/>
        <v>7.1361510773210171E-3</v>
      </c>
    </row>
    <row r="10" spans="1:22" x14ac:dyDescent="0.35">
      <c r="A10">
        <v>2021</v>
      </c>
      <c r="B10" s="30">
        <f>D70</f>
        <v>30493.785181493997</v>
      </c>
      <c r="C10" s="30">
        <f>H70</f>
        <v>5522.4659814939978</v>
      </c>
      <c r="D10" s="30">
        <f>L70</f>
        <v>1915.4571562580002</v>
      </c>
      <c r="E10" s="30">
        <f>P70</f>
        <v>4564.4751303419989</v>
      </c>
      <c r="F10" s="30">
        <f>T70</f>
        <v>19707.379413400002</v>
      </c>
      <c r="G10" s="30">
        <f>Y70</f>
        <v>1691.6102000000001</v>
      </c>
      <c r="I10" s="31">
        <f t="shared" si="5"/>
        <v>0.23657529357398571</v>
      </c>
      <c r="J10" s="31">
        <f t="shared" si="6"/>
        <v>0.21250009626658375</v>
      </c>
      <c r="K10" s="31">
        <f t="shared" si="7"/>
        <v>0.64627527530953988</v>
      </c>
      <c r="M10" s="33">
        <f t="shared" si="0"/>
        <v>3451541.2384337485</v>
      </c>
      <c r="N10" s="33">
        <f t="shared" si="1"/>
        <v>191545.71562580002</v>
      </c>
      <c r="O10" s="33">
        <f t="shared" si="2"/>
        <v>456447.51303419989</v>
      </c>
      <c r="P10" s="33">
        <f t="shared" si="3"/>
        <v>19707.379413400002</v>
      </c>
      <c r="Q10" s="33">
        <f t="shared" si="4"/>
        <v>1057256.375</v>
      </c>
      <c r="R10" s="33">
        <f t="shared" si="8"/>
        <v>5176498.2215071488</v>
      </c>
      <c r="T10" s="31">
        <f t="shared" si="9"/>
        <v>0.87101307109519344</v>
      </c>
      <c r="U10" s="31">
        <f t="shared" si="10"/>
        <v>0.1251798418412931</v>
      </c>
      <c r="V10" s="34">
        <f t="shared" si="11"/>
        <v>3.8070870635134027E-3</v>
      </c>
    </row>
    <row r="11" spans="1:22" x14ac:dyDescent="0.35">
      <c r="A11">
        <v>2022</v>
      </c>
      <c r="B11" s="30">
        <f>D53</f>
        <v>45536</v>
      </c>
      <c r="C11" s="30">
        <f>H53</f>
        <v>7538</v>
      </c>
      <c r="D11" s="30">
        <f>L53</f>
        <v>3790</v>
      </c>
      <c r="E11" s="30">
        <f>P53</f>
        <v>4978.22</v>
      </c>
      <c r="F11" s="30">
        <f>T53</f>
        <v>28623</v>
      </c>
      <c r="G11" s="30">
        <f>Y53</f>
        <v>4348</v>
      </c>
      <c r="I11" s="31">
        <f t="shared" si="5"/>
        <v>0.26102424455375967</v>
      </c>
      <c r="J11" s="31">
        <f t="shared" si="6"/>
        <v>0.19255578004216448</v>
      </c>
      <c r="K11" s="31">
        <f t="shared" si="7"/>
        <v>0.62857958538299363</v>
      </c>
      <c r="M11" s="33">
        <f t="shared" si="0"/>
        <v>4711250</v>
      </c>
      <c r="N11" s="33">
        <f t="shared" si="1"/>
        <v>379000</v>
      </c>
      <c r="O11" s="33">
        <f t="shared" si="2"/>
        <v>497822</v>
      </c>
      <c r="P11" s="33">
        <f t="shared" si="3"/>
        <v>28623</v>
      </c>
      <c r="Q11" s="33">
        <f t="shared" si="4"/>
        <v>2717500</v>
      </c>
      <c r="R11" s="33">
        <f t="shared" si="8"/>
        <v>8334195</v>
      </c>
      <c r="T11" s="31">
        <f t="shared" si="9"/>
        <v>0.89135783360000576</v>
      </c>
      <c r="U11" s="31">
        <f t="shared" si="10"/>
        <v>0.1052077615174591</v>
      </c>
      <c r="V11" s="34">
        <f t="shared" si="11"/>
        <v>3.4344048825351459E-3</v>
      </c>
    </row>
    <row r="12" spans="1:22" x14ac:dyDescent="0.35">
      <c r="A12">
        <v>2023</v>
      </c>
      <c r="B12" s="30">
        <f>D37</f>
        <v>48217.54210579193</v>
      </c>
      <c r="C12" s="30">
        <f>H37</f>
        <v>3371.8142200714274</v>
      </c>
      <c r="D12" s="30">
        <f>L37</f>
        <v>470.9481475798874</v>
      </c>
      <c r="E12" s="30">
        <f>P37</f>
        <v>4769.973992450834</v>
      </c>
      <c r="F12" s="30">
        <f>T37</f>
        <v>37604.328656536789</v>
      </c>
      <c r="G12" s="30">
        <f>X37</f>
        <v>2000.4770891529802</v>
      </c>
      <c r="I12" s="31">
        <f t="shared" si="5"/>
        <v>0.11141777607488382</v>
      </c>
      <c r="J12" s="31">
        <f t="shared" si="6"/>
        <v>0.10869326620863111</v>
      </c>
      <c r="K12" s="31">
        <f t="shared" si="7"/>
        <v>0.77988895771648481</v>
      </c>
      <c r="M12" s="33">
        <f t="shared" si="0"/>
        <v>2107383.8875446422</v>
      </c>
      <c r="N12" s="33">
        <f t="shared" si="1"/>
        <v>47094.814757988737</v>
      </c>
      <c r="O12" s="33">
        <f t="shared" si="2"/>
        <v>476997.39924508339</v>
      </c>
      <c r="P12" s="33">
        <f t="shared" si="3"/>
        <v>37604.328656536789</v>
      </c>
      <c r="Q12" s="33">
        <f t="shared" si="4"/>
        <v>1250298.1807206126</v>
      </c>
      <c r="R12" s="33">
        <f t="shared" si="8"/>
        <v>3919378.6109248642</v>
      </c>
      <c r="T12" s="31">
        <f t="shared" si="9"/>
        <v>0.85668734806738545</v>
      </c>
      <c r="U12" s="31">
        <f t="shared" si="10"/>
        <v>0.13371819005753083</v>
      </c>
      <c r="V12" s="34">
        <f t="shared" si="11"/>
        <v>9.5944618750836153E-3</v>
      </c>
    </row>
    <row r="13" spans="1:22" x14ac:dyDescent="0.35">
      <c r="A13">
        <v>2024</v>
      </c>
    </row>
    <row r="24" spans="2:24" ht="17.5" x14ac:dyDescent="0.45">
      <c r="B24" t="s">
        <v>35</v>
      </c>
      <c r="C24" t="s">
        <v>19</v>
      </c>
      <c r="G24" t="s">
        <v>36</v>
      </c>
      <c r="K24" t="s">
        <v>40</v>
      </c>
      <c r="O24" t="s">
        <v>46</v>
      </c>
      <c r="S24" t="s">
        <v>48</v>
      </c>
      <c r="W24" t="s">
        <v>49</v>
      </c>
    </row>
    <row r="25" spans="2:24" x14ac:dyDescent="0.35">
      <c r="B25" t="s">
        <v>20</v>
      </c>
      <c r="C25" t="s">
        <v>21</v>
      </c>
      <c r="D25" t="s">
        <v>22</v>
      </c>
      <c r="F25" t="s">
        <v>20</v>
      </c>
      <c r="G25" t="s">
        <v>21</v>
      </c>
      <c r="H25" t="s">
        <v>22</v>
      </c>
      <c r="J25" t="s">
        <v>20</v>
      </c>
      <c r="K25" t="s">
        <v>21</v>
      </c>
      <c r="L25" t="s">
        <v>22</v>
      </c>
      <c r="N25" t="s">
        <v>20</v>
      </c>
      <c r="O25" t="s">
        <v>21</v>
      </c>
      <c r="P25" t="s">
        <v>22</v>
      </c>
      <c r="R25" t="s">
        <v>20</v>
      </c>
      <c r="S25" t="s">
        <v>21</v>
      </c>
      <c r="T25" t="s">
        <v>22</v>
      </c>
      <c r="V25" t="s">
        <v>20</v>
      </c>
      <c r="W25" t="s">
        <v>21</v>
      </c>
      <c r="X25" t="s">
        <v>22</v>
      </c>
    </row>
    <row r="26" spans="2:24" x14ac:dyDescent="0.35">
      <c r="B26">
        <v>1</v>
      </c>
      <c r="C26" t="s">
        <v>23</v>
      </c>
      <c r="D26">
        <v>0.30393992465576336</v>
      </c>
      <c r="F26">
        <v>1</v>
      </c>
      <c r="G26" t="s">
        <v>28</v>
      </c>
      <c r="H26">
        <v>0.90542979856308781</v>
      </c>
      <c r="J26">
        <v>1</v>
      </c>
      <c r="K26" t="s">
        <v>41</v>
      </c>
      <c r="L26">
        <v>0.56331411719800495</v>
      </c>
      <c r="N26">
        <v>1</v>
      </c>
      <c r="O26" t="s">
        <v>30</v>
      </c>
      <c r="P26">
        <v>0.31924702365464647</v>
      </c>
      <c r="R26">
        <v>1</v>
      </c>
      <c r="S26" t="s">
        <v>23</v>
      </c>
      <c r="T26">
        <v>0.36234318344008598</v>
      </c>
      <c r="V26">
        <v>1</v>
      </c>
      <c r="W26" t="s">
        <v>41</v>
      </c>
      <c r="X26">
        <v>0.91452134589285305</v>
      </c>
    </row>
    <row r="27" spans="2:24" x14ac:dyDescent="0.35">
      <c r="B27">
        <v>2</v>
      </c>
      <c r="C27" t="s">
        <v>24</v>
      </c>
      <c r="D27">
        <v>0.18852060065724716</v>
      </c>
      <c r="F27">
        <v>2</v>
      </c>
      <c r="G27" t="s">
        <v>37</v>
      </c>
      <c r="H27">
        <v>4.1520674290600239E-2</v>
      </c>
      <c r="J27">
        <v>2</v>
      </c>
      <c r="K27" t="s">
        <v>27</v>
      </c>
      <c r="L27">
        <v>0.11678568072225042</v>
      </c>
      <c r="N27">
        <v>2</v>
      </c>
      <c r="O27" t="s">
        <v>27</v>
      </c>
      <c r="P27">
        <v>0.23689856627905867</v>
      </c>
      <c r="R27">
        <v>2</v>
      </c>
      <c r="S27" t="s">
        <v>24</v>
      </c>
      <c r="T27">
        <v>0.24172749055100812</v>
      </c>
      <c r="V27">
        <v>2</v>
      </c>
      <c r="W27" t="s">
        <v>43</v>
      </c>
      <c r="X27">
        <v>4.8863343914320068E-2</v>
      </c>
    </row>
    <row r="28" spans="2:24" x14ac:dyDescent="0.35">
      <c r="B28">
        <v>3</v>
      </c>
      <c r="C28" t="s">
        <v>25</v>
      </c>
      <c r="D28">
        <v>0.11614030403526776</v>
      </c>
      <c r="F28">
        <v>3</v>
      </c>
      <c r="G28" t="s">
        <v>38</v>
      </c>
      <c r="H28">
        <v>3.0331786784455011E-2</v>
      </c>
      <c r="J28">
        <v>3</v>
      </c>
      <c r="K28" t="s">
        <v>42</v>
      </c>
      <c r="L28">
        <v>0.10788002212338918</v>
      </c>
      <c r="N28">
        <v>3</v>
      </c>
      <c r="O28" t="s">
        <v>23</v>
      </c>
      <c r="P28">
        <v>0.21584267751001046</v>
      </c>
      <c r="R28">
        <v>3</v>
      </c>
      <c r="S28" t="s">
        <v>25</v>
      </c>
      <c r="T28">
        <v>0.1489190260820292</v>
      </c>
      <c r="V28">
        <v>3</v>
      </c>
      <c r="W28" t="s">
        <v>50</v>
      </c>
      <c r="X28">
        <v>2.0395134851194461E-2</v>
      </c>
    </row>
    <row r="29" spans="2:24" x14ac:dyDescent="0.35">
      <c r="B29">
        <v>4</v>
      </c>
      <c r="C29" t="s">
        <v>26</v>
      </c>
      <c r="D29">
        <v>0.10523141119195512</v>
      </c>
      <c r="F29">
        <v>4</v>
      </c>
      <c r="G29" t="s">
        <v>39</v>
      </c>
      <c r="H29">
        <v>2.2717740361856986E-2</v>
      </c>
      <c r="J29">
        <v>4</v>
      </c>
      <c r="K29" t="s">
        <v>43</v>
      </c>
      <c r="L29">
        <v>9.7508823924634447E-2</v>
      </c>
      <c r="N29">
        <v>4</v>
      </c>
      <c r="O29" t="s">
        <v>41</v>
      </c>
      <c r="P29">
        <v>0.10328875184219956</v>
      </c>
      <c r="R29">
        <v>4</v>
      </c>
      <c r="S29" t="s">
        <v>26</v>
      </c>
      <c r="T29">
        <v>0.13493127470361002</v>
      </c>
      <c r="V29" t="s">
        <v>33</v>
      </c>
      <c r="W29" t="s">
        <v>33</v>
      </c>
      <c r="X29" t="s">
        <v>33</v>
      </c>
    </row>
    <row r="30" spans="2:24" x14ac:dyDescent="0.35">
      <c r="B30">
        <v>5</v>
      </c>
      <c r="C30" t="s">
        <v>27</v>
      </c>
      <c r="D30">
        <v>7.2380296621979381E-2</v>
      </c>
      <c r="F30" t="s">
        <v>33</v>
      </c>
      <c r="G30" t="s">
        <v>33</v>
      </c>
      <c r="H30" t="s">
        <v>33</v>
      </c>
      <c r="J30">
        <v>5</v>
      </c>
      <c r="K30" t="s">
        <v>44</v>
      </c>
      <c r="L30">
        <v>8.3074750800168254E-2</v>
      </c>
      <c r="N30">
        <v>5</v>
      </c>
      <c r="O30" t="s">
        <v>42</v>
      </c>
      <c r="P30">
        <v>5.0258088334766339E-2</v>
      </c>
      <c r="R30">
        <v>5</v>
      </c>
      <c r="S30" t="s">
        <v>27</v>
      </c>
      <c r="T30">
        <v>6.1163171426547702E-2</v>
      </c>
      <c r="V30" t="s">
        <v>33</v>
      </c>
      <c r="W30" t="s">
        <v>33</v>
      </c>
      <c r="X30" t="s">
        <v>33</v>
      </c>
    </row>
    <row r="31" spans="2:24" x14ac:dyDescent="0.35">
      <c r="B31">
        <v>6</v>
      </c>
      <c r="C31" t="s">
        <v>28</v>
      </c>
      <c r="D31">
        <v>6.3315982871402013E-2</v>
      </c>
      <c r="F31" t="s">
        <v>33</v>
      </c>
      <c r="G31" t="s">
        <v>33</v>
      </c>
      <c r="H31" t="s">
        <v>33</v>
      </c>
      <c r="J31">
        <v>6</v>
      </c>
      <c r="K31" t="s">
        <v>45</v>
      </c>
      <c r="L31">
        <v>3.1436605231552818E-2</v>
      </c>
      <c r="N31">
        <v>6</v>
      </c>
      <c r="O31" t="s">
        <v>47</v>
      </c>
      <c r="P31">
        <v>4.1308401327102409E-2</v>
      </c>
      <c r="R31">
        <v>6</v>
      </c>
      <c r="S31" t="s">
        <v>31</v>
      </c>
      <c r="T31">
        <v>2.5438294849965772E-2</v>
      </c>
      <c r="V31" t="s">
        <v>33</v>
      </c>
      <c r="W31" t="s">
        <v>33</v>
      </c>
      <c r="X31" t="s">
        <v>33</v>
      </c>
    </row>
    <row r="32" spans="2:24" x14ac:dyDescent="0.35">
      <c r="B32">
        <v>7</v>
      </c>
      <c r="C32" t="s">
        <v>29</v>
      </c>
      <c r="D32">
        <v>5.3662117291731336E-2</v>
      </c>
      <c r="F32" t="s">
        <v>33</v>
      </c>
      <c r="G32" t="s">
        <v>33</v>
      </c>
      <c r="H32" t="s">
        <v>33</v>
      </c>
      <c r="J32" t="s">
        <v>33</v>
      </c>
      <c r="K32" t="s">
        <v>33</v>
      </c>
      <c r="L32" t="s">
        <v>33</v>
      </c>
      <c r="N32">
        <v>7</v>
      </c>
      <c r="O32" t="s">
        <v>45</v>
      </c>
      <c r="P32">
        <v>2.8239042857085037E-2</v>
      </c>
      <c r="R32">
        <v>7</v>
      </c>
      <c r="S32" t="s">
        <v>32</v>
      </c>
      <c r="T32">
        <v>2.5263049067487095E-2</v>
      </c>
      <c r="V32" t="s">
        <v>33</v>
      </c>
      <c r="W32" t="s">
        <v>33</v>
      </c>
      <c r="X32" t="s">
        <v>33</v>
      </c>
    </row>
    <row r="33" spans="2:25" x14ac:dyDescent="0.35">
      <c r="B33">
        <v>8</v>
      </c>
      <c r="C33" t="s">
        <v>30</v>
      </c>
      <c r="D33">
        <v>3.1581866961590314E-2</v>
      </c>
      <c r="F33" t="s">
        <v>33</v>
      </c>
      <c r="G33" t="s">
        <v>33</v>
      </c>
      <c r="H33" t="s">
        <v>33</v>
      </c>
      <c r="J33" t="s">
        <v>33</v>
      </c>
      <c r="K33" t="s">
        <v>33</v>
      </c>
      <c r="L33" t="s">
        <v>33</v>
      </c>
      <c r="N33" t="s">
        <v>33</v>
      </c>
      <c r="O33" t="s">
        <v>33</v>
      </c>
      <c r="P33" t="s">
        <v>33</v>
      </c>
      <c r="R33" t="s">
        <v>33</v>
      </c>
      <c r="S33" t="s">
        <v>33</v>
      </c>
      <c r="T33" t="s">
        <v>33</v>
      </c>
      <c r="V33" t="s">
        <v>33</v>
      </c>
      <c r="W33" t="s">
        <v>33</v>
      </c>
      <c r="X33" t="s">
        <v>33</v>
      </c>
    </row>
    <row r="34" spans="2:25" x14ac:dyDescent="0.35">
      <c r="B34">
        <v>9</v>
      </c>
      <c r="C34" t="s">
        <v>31</v>
      </c>
      <c r="D34">
        <v>1.983904525662443E-2</v>
      </c>
      <c r="F34" t="s">
        <v>33</v>
      </c>
      <c r="G34" t="s">
        <v>33</v>
      </c>
      <c r="H34" t="s">
        <v>33</v>
      </c>
      <c r="J34" t="s">
        <v>33</v>
      </c>
      <c r="K34" t="s">
        <v>33</v>
      </c>
      <c r="L34" t="s">
        <v>33</v>
      </c>
      <c r="N34" t="s">
        <v>33</v>
      </c>
      <c r="O34" t="s">
        <v>33</v>
      </c>
      <c r="P34" t="s">
        <v>33</v>
      </c>
      <c r="R34" t="s">
        <v>33</v>
      </c>
      <c r="S34" t="s">
        <v>33</v>
      </c>
      <c r="T34" t="s">
        <v>33</v>
      </c>
      <c r="V34" t="s">
        <v>33</v>
      </c>
      <c r="W34" t="s">
        <v>33</v>
      </c>
      <c r="X34" t="s">
        <v>33</v>
      </c>
    </row>
    <row r="35" spans="2:25" x14ac:dyDescent="0.35">
      <c r="B35">
        <v>10</v>
      </c>
      <c r="C35" t="s">
        <v>32</v>
      </c>
      <c r="D35">
        <v>1.9702373005982925E-2</v>
      </c>
      <c r="F35" t="s">
        <v>33</v>
      </c>
      <c r="G35" t="s">
        <v>33</v>
      </c>
      <c r="H35" t="s">
        <v>33</v>
      </c>
      <c r="J35" t="s">
        <v>33</v>
      </c>
      <c r="K35" t="s">
        <v>33</v>
      </c>
      <c r="L35" t="s">
        <v>33</v>
      </c>
      <c r="N35" t="s">
        <v>33</v>
      </c>
      <c r="O35" t="s">
        <v>33</v>
      </c>
      <c r="P35" t="s">
        <v>33</v>
      </c>
      <c r="R35" t="s">
        <v>33</v>
      </c>
      <c r="S35" t="s">
        <v>33</v>
      </c>
      <c r="T35" t="s">
        <v>33</v>
      </c>
      <c r="V35" t="s">
        <v>33</v>
      </c>
      <c r="W35" t="s">
        <v>33</v>
      </c>
      <c r="X35" t="s">
        <v>33</v>
      </c>
    </row>
    <row r="36" spans="2:25" x14ac:dyDescent="0.35">
      <c r="C36" t="s">
        <v>34</v>
      </c>
      <c r="D36">
        <v>2.5686077450456299E-2</v>
      </c>
      <c r="G36" t="s">
        <v>33</v>
      </c>
      <c r="H36" t="s">
        <v>33</v>
      </c>
      <c r="K36" t="s">
        <v>33</v>
      </c>
      <c r="L36" t="s">
        <v>33</v>
      </c>
      <c r="O36" t="s">
        <v>33</v>
      </c>
      <c r="P36" t="s">
        <v>33</v>
      </c>
      <c r="S36" t="s">
        <v>33</v>
      </c>
      <c r="T36" t="s">
        <v>33</v>
      </c>
      <c r="W36" t="s">
        <v>34</v>
      </c>
      <c r="X36">
        <v>1.6220175341632337E-2</v>
      </c>
    </row>
    <row r="37" spans="2:25" x14ac:dyDescent="0.35">
      <c r="B37" t="s">
        <v>35</v>
      </c>
      <c r="D37">
        <v>48217.54210579193</v>
      </c>
      <c r="F37" t="s">
        <v>35</v>
      </c>
      <c r="H37">
        <v>3371.8142200714274</v>
      </c>
      <c r="J37" t="s">
        <v>35</v>
      </c>
      <c r="L37">
        <v>470.9481475798874</v>
      </c>
      <c r="N37" t="s">
        <v>35</v>
      </c>
      <c r="P37">
        <v>4769.973992450834</v>
      </c>
      <c r="R37" t="s">
        <v>35</v>
      </c>
      <c r="T37">
        <v>37604.328656536789</v>
      </c>
      <c r="V37" t="s">
        <v>35</v>
      </c>
      <c r="X37">
        <v>2000.4770891529802</v>
      </c>
    </row>
    <row r="38" spans="2:25" x14ac:dyDescent="0.35">
      <c r="B38" s="11"/>
      <c r="C38" s="11"/>
    </row>
    <row r="39" spans="2:25" x14ac:dyDescent="0.35">
      <c r="B39" t="s">
        <v>99</v>
      </c>
      <c r="J39" t="s">
        <v>100</v>
      </c>
    </row>
    <row r="41" spans="2:25" x14ac:dyDescent="0.35">
      <c r="B41" t="s">
        <v>101</v>
      </c>
      <c r="F41" t="s">
        <v>102</v>
      </c>
      <c r="J41" t="s">
        <v>103</v>
      </c>
      <c r="N41" t="s">
        <v>104</v>
      </c>
      <c r="R41" t="s">
        <v>105</v>
      </c>
      <c r="V41" t="s">
        <v>106</v>
      </c>
    </row>
    <row r="42" spans="2:25" x14ac:dyDescent="0.35">
      <c r="B42" t="s">
        <v>20</v>
      </c>
      <c r="C42" t="s">
        <v>21</v>
      </c>
      <c r="D42" t="s">
        <v>22</v>
      </c>
      <c r="F42" t="s">
        <v>20</v>
      </c>
      <c r="G42" t="s">
        <v>21</v>
      </c>
      <c r="H42" t="s">
        <v>22</v>
      </c>
      <c r="J42" t="s">
        <v>20</v>
      </c>
      <c r="K42" t="s">
        <v>21</v>
      </c>
      <c r="L42" t="s">
        <v>22</v>
      </c>
      <c r="N42" t="s">
        <v>20</v>
      </c>
      <c r="O42" t="s">
        <v>21</v>
      </c>
      <c r="P42" t="s">
        <v>22</v>
      </c>
      <c r="R42" t="s">
        <v>20</v>
      </c>
      <c r="S42" t="s">
        <v>21</v>
      </c>
      <c r="T42" t="s">
        <v>22</v>
      </c>
      <c r="V42" t="s">
        <v>20</v>
      </c>
      <c r="W42" t="s">
        <v>21</v>
      </c>
      <c r="Y42" t="s">
        <v>22</v>
      </c>
    </row>
    <row r="43" spans="2:25" x14ac:dyDescent="0.35">
      <c r="B43">
        <v>1</v>
      </c>
      <c r="C43" t="s">
        <v>107</v>
      </c>
      <c r="D43">
        <v>0.20218960760167404</v>
      </c>
      <c r="F43">
        <v>1</v>
      </c>
      <c r="G43" t="s">
        <v>108</v>
      </c>
      <c r="H43">
        <v>0.46120001773141939</v>
      </c>
      <c r="J43">
        <v>1</v>
      </c>
      <c r="K43" t="s">
        <v>29</v>
      </c>
      <c r="L43">
        <v>0.88311345646438</v>
      </c>
      <c r="N43">
        <v>1</v>
      </c>
      <c r="O43" t="s">
        <v>30</v>
      </c>
      <c r="P43">
        <v>0.48445140315181606</v>
      </c>
      <c r="R43">
        <v>1</v>
      </c>
      <c r="S43" t="s">
        <v>24</v>
      </c>
      <c r="T43">
        <v>0.38058078868163553</v>
      </c>
      <c r="V43">
        <v>1</v>
      </c>
      <c r="W43" t="s">
        <v>109</v>
      </c>
      <c r="Y43">
        <v>0.56113668355557955</v>
      </c>
    </row>
    <row r="44" spans="2:25" x14ac:dyDescent="0.35">
      <c r="B44">
        <v>2</v>
      </c>
      <c r="C44" t="s">
        <v>24</v>
      </c>
      <c r="D44">
        <v>0.17788139169135367</v>
      </c>
      <c r="F44">
        <v>2</v>
      </c>
      <c r="G44" t="s">
        <v>109</v>
      </c>
      <c r="H44">
        <v>0.4439956784944421</v>
      </c>
      <c r="J44">
        <v>2</v>
      </c>
      <c r="K44" t="s">
        <v>107</v>
      </c>
      <c r="L44">
        <v>6.5768307415860414E-2</v>
      </c>
      <c r="N44">
        <v>2</v>
      </c>
      <c r="O44" t="s">
        <v>107</v>
      </c>
      <c r="P44">
        <v>0.33391236493915555</v>
      </c>
      <c r="R44">
        <v>2</v>
      </c>
      <c r="S44" t="s">
        <v>26</v>
      </c>
      <c r="T44">
        <v>0.25699761024320827</v>
      </c>
      <c r="V44">
        <v>2</v>
      </c>
      <c r="W44" t="s">
        <v>107</v>
      </c>
      <c r="Y44">
        <v>0.31760092918155203</v>
      </c>
    </row>
    <row r="45" spans="2:25" x14ac:dyDescent="0.35">
      <c r="B45">
        <v>3</v>
      </c>
      <c r="C45" t="s">
        <v>26</v>
      </c>
      <c r="D45">
        <v>0.14043669992035457</v>
      </c>
      <c r="F45">
        <v>3</v>
      </c>
      <c r="G45" t="s">
        <v>110</v>
      </c>
      <c r="H45">
        <v>5.9700192552175568E-2</v>
      </c>
      <c r="J45">
        <v>3</v>
      </c>
      <c r="K45" t="s">
        <v>27</v>
      </c>
      <c r="L45">
        <v>2.9486344058504272E-2</v>
      </c>
      <c r="N45">
        <v>3</v>
      </c>
      <c r="O45" t="s">
        <v>27</v>
      </c>
      <c r="P45">
        <v>0.122622322430992</v>
      </c>
      <c r="R45">
        <v>3</v>
      </c>
      <c r="S45" t="s">
        <v>107</v>
      </c>
      <c r="T45">
        <v>0.14720374227064759</v>
      </c>
      <c r="V45">
        <v>3</v>
      </c>
      <c r="W45" t="s">
        <v>27</v>
      </c>
      <c r="Y45">
        <v>5.2388810154910891E-2</v>
      </c>
    </row>
    <row r="46" spans="2:25" x14ac:dyDescent="0.35">
      <c r="B46">
        <v>4</v>
      </c>
      <c r="C46" t="s">
        <v>109</v>
      </c>
      <c r="D46">
        <v>0.12708626141953619</v>
      </c>
      <c r="F46">
        <v>4</v>
      </c>
      <c r="G46" t="s">
        <v>111</v>
      </c>
      <c r="H46">
        <v>1.8002924731844942E-2</v>
      </c>
      <c r="J46">
        <v>4</v>
      </c>
      <c r="K46" t="s">
        <v>44</v>
      </c>
      <c r="L46">
        <v>1.0170498283310847E-2</v>
      </c>
      <c r="N46">
        <v>4</v>
      </c>
      <c r="O46" t="s">
        <v>42</v>
      </c>
      <c r="P46">
        <v>3.3604182667906518E-2</v>
      </c>
      <c r="R46">
        <v>4</v>
      </c>
      <c r="S46" t="s">
        <v>112</v>
      </c>
      <c r="T46">
        <v>0.10209779584554453</v>
      </c>
      <c r="V46">
        <v>4</v>
      </c>
      <c r="W46" t="s">
        <v>43</v>
      </c>
      <c r="Y46">
        <v>4.0839354290206659E-2</v>
      </c>
    </row>
    <row r="47" spans="2:25" x14ac:dyDescent="0.35">
      <c r="B47">
        <v>5</v>
      </c>
      <c r="C47" t="s">
        <v>112</v>
      </c>
      <c r="D47">
        <v>9.8822995384085385E-2</v>
      </c>
      <c r="J47">
        <v>5</v>
      </c>
      <c r="K47" t="s">
        <v>42</v>
      </c>
      <c r="L47">
        <v>7.6227285685894815E-3</v>
      </c>
      <c r="N47">
        <v>5</v>
      </c>
      <c r="O47" t="s">
        <v>113</v>
      </c>
      <c r="P47">
        <v>2.071596156031805E-2</v>
      </c>
      <c r="R47">
        <v>5</v>
      </c>
      <c r="S47" t="s">
        <v>27</v>
      </c>
      <c r="T47">
        <v>7.1039379241263925E-2</v>
      </c>
      <c r="V47">
        <v>5</v>
      </c>
      <c r="W47" t="s">
        <v>50</v>
      </c>
      <c r="Y47">
        <v>2.5297493929061447E-2</v>
      </c>
    </row>
    <row r="48" spans="2:25" x14ac:dyDescent="0.35">
      <c r="B48">
        <v>6</v>
      </c>
      <c r="C48" t="s">
        <v>108</v>
      </c>
      <c r="D48">
        <v>7.634341745812552E-2</v>
      </c>
      <c r="R48">
        <v>6</v>
      </c>
      <c r="S48" t="s">
        <v>31</v>
      </c>
      <c r="T48">
        <v>4.1710264097370671E-2</v>
      </c>
    </row>
    <row r="49" spans="2:25" x14ac:dyDescent="0.35">
      <c r="B49">
        <v>7</v>
      </c>
      <c r="C49" t="s">
        <v>27</v>
      </c>
      <c r="D49">
        <v>7.1982358270824026E-2</v>
      </c>
    </row>
    <row r="50" spans="2:25" x14ac:dyDescent="0.35">
      <c r="B50">
        <v>8</v>
      </c>
      <c r="C50" t="s">
        <v>30</v>
      </c>
      <c r="D50">
        <v>5.3212449701171026E-2</v>
      </c>
    </row>
    <row r="51" spans="2:25" x14ac:dyDescent="0.35">
      <c r="B51">
        <v>9</v>
      </c>
      <c r="C51" t="s">
        <v>31</v>
      </c>
      <c r="D51">
        <v>2.5522685607863117E-2</v>
      </c>
    </row>
    <row r="52" spans="2:25" x14ac:dyDescent="0.35">
      <c r="C52" t="s">
        <v>34</v>
      </c>
      <c r="D52">
        <v>2.65221329450126E-2</v>
      </c>
      <c r="G52" t="s">
        <v>34</v>
      </c>
      <c r="H52">
        <v>0.02</v>
      </c>
      <c r="K52" t="s">
        <v>34</v>
      </c>
      <c r="L52">
        <v>0.01</v>
      </c>
    </row>
    <row r="53" spans="2:25" x14ac:dyDescent="0.35">
      <c r="B53" t="s">
        <v>114</v>
      </c>
      <c r="D53">
        <v>45536</v>
      </c>
      <c r="F53" t="s">
        <v>114</v>
      </c>
      <c r="H53">
        <v>7538</v>
      </c>
      <c r="J53" t="s">
        <v>114</v>
      </c>
      <c r="L53">
        <v>3790</v>
      </c>
      <c r="N53" t="s">
        <v>114</v>
      </c>
      <c r="P53">
        <v>4978.22</v>
      </c>
      <c r="R53" t="s">
        <v>114</v>
      </c>
      <c r="T53">
        <v>28623</v>
      </c>
      <c r="V53" t="s">
        <v>114</v>
      </c>
      <c r="Y53">
        <v>4348</v>
      </c>
    </row>
    <row r="55" spans="2:25" x14ac:dyDescent="0.35">
      <c r="B55" t="s">
        <v>115</v>
      </c>
      <c r="J55" t="s">
        <v>100</v>
      </c>
    </row>
    <row r="57" spans="2:25" x14ac:dyDescent="0.35">
      <c r="B57" t="s">
        <v>101</v>
      </c>
      <c r="F57" t="s">
        <v>102</v>
      </c>
      <c r="J57" t="s">
        <v>103</v>
      </c>
      <c r="N57" t="s">
        <v>104</v>
      </c>
      <c r="R57" t="s">
        <v>105</v>
      </c>
      <c r="V57" t="s">
        <v>106</v>
      </c>
    </row>
    <row r="58" spans="2:25" x14ac:dyDescent="0.35">
      <c r="B58" t="s">
        <v>20</v>
      </c>
      <c r="C58" t="s">
        <v>21</v>
      </c>
      <c r="D58" t="s">
        <v>22</v>
      </c>
      <c r="F58" t="s">
        <v>20</v>
      </c>
      <c r="G58" t="s">
        <v>21</v>
      </c>
      <c r="H58" t="s">
        <v>22</v>
      </c>
      <c r="J58" t="s">
        <v>20</v>
      </c>
      <c r="K58" t="s">
        <v>21</v>
      </c>
      <c r="L58" t="s">
        <v>22</v>
      </c>
      <c r="N58" t="s">
        <v>20</v>
      </c>
      <c r="O58" t="s">
        <v>21</v>
      </c>
      <c r="P58" t="s">
        <v>22</v>
      </c>
      <c r="R58" t="s">
        <v>20</v>
      </c>
      <c r="S58" t="s">
        <v>21</v>
      </c>
      <c r="T58" t="s">
        <v>22</v>
      </c>
      <c r="V58" t="s">
        <v>20</v>
      </c>
      <c r="W58" t="s">
        <v>21</v>
      </c>
      <c r="Y58" t="s">
        <v>22</v>
      </c>
    </row>
    <row r="59" spans="2:25" x14ac:dyDescent="0.35">
      <c r="B59" t="s">
        <v>20</v>
      </c>
      <c r="C59" t="s">
        <v>21</v>
      </c>
      <c r="D59" t="s">
        <v>22</v>
      </c>
      <c r="F59" t="s">
        <v>20</v>
      </c>
      <c r="G59" t="s">
        <v>21</v>
      </c>
      <c r="H59" t="s">
        <v>22</v>
      </c>
      <c r="J59" t="s">
        <v>20</v>
      </c>
      <c r="K59" t="s">
        <v>21</v>
      </c>
      <c r="L59" t="s">
        <v>22</v>
      </c>
      <c r="N59" t="s">
        <v>20</v>
      </c>
      <c r="O59" t="s">
        <v>21</v>
      </c>
      <c r="P59" t="s">
        <v>22</v>
      </c>
      <c r="R59" t="s">
        <v>20</v>
      </c>
      <c r="S59" t="s">
        <v>21</v>
      </c>
      <c r="T59" t="s">
        <v>22</v>
      </c>
      <c r="V59" t="s">
        <v>20</v>
      </c>
      <c r="W59" t="s">
        <v>21</v>
      </c>
      <c r="Y59" t="s">
        <v>22</v>
      </c>
    </row>
    <row r="60" spans="2:25" x14ac:dyDescent="0.35">
      <c r="B60">
        <v>1</v>
      </c>
      <c r="C60" t="s">
        <v>24</v>
      </c>
      <c r="D60">
        <v>0.29108390274182161</v>
      </c>
      <c r="F60">
        <v>1</v>
      </c>
      <c r="G60" t="s">
        <v>116</v>
      </c>
      <c r="H60">
        <v>0.47655571058638319</v>
      </c>
      <c r="J60">
        <v>1</v>
      </c>
      <c r="K60" t="s">
        <v>116</v>
      </c>
      <c r="L60">
        <v>0.86453993219827907</v>
      </c>
      <c r="N60">
        <v>1</v>
      </c>
      <c r="O60" t="s">
        <v>107</v>
      </c>
      <c r="P60">
        <v>0.31342977877826828</v>
      </c>
      <c r="R60">
        <v>1</v>
      </c>
      <c r="S60" t="s">
        <v>24</v>
      </c>
      <c r="T60">
        <v>0.38058078868163553</v>
      </c>
      <c r="V60">
        <v>1</v>
      </c>
      <c r="W60" t="s">
        <v>24</v>
      </c>
      <c r="Y60">
        <v>0.81342616638277543</v>
      </c>
    </row>
    <row r="61" spans="2:25" x14ac:dyDescent="0.35">
      <c r="B61">
        <v>2</v>
      </c>
      <c r="C61" t="s">
        <v>107</v>
      </c>
      <c r="D61">
        <v>0.22001748750009706</v>
      </c>
      <c r="F61">
        <v>2</v>
      </c>
      <c r="G61" t="s">
        <v>108</v>
      </c>
      <c r="H61">
        <v>0.43441884287442489</v>
      </c>
      <c r="J61">
        <v>2</v>
      </c>
      <c r="K61" t="s">
        <v>107</v>
      </c>
      <c r="L61">
        <v>0.11160477046410426</v>
      </c>
      <c r="N61">
        <v>2</v>
      </c>
      <c r="O61" t="s">
        <v>30</v>
      </c>
      <c r="P61">
        <v>0.28600721062581097</v>
      </c>
      <c r="R61">
        <v>2</v>
      </c>
      <c r="S61" t="s">
        <v>107</v>
      </c>
      <c r="T61">
        <v>0.25699761024320827</v>
      </c>
      <c r="V61">
        <v>2</v>
      </c>
      <c r="W61" t="s">
        <v>116</v>
      </c>
      <c r="Y61">
        <v>0.12848716566026855</v>
      </c>
    </row>
    <row r="62" spans="2:25" x14ac:dyDescent="0.35">
      <c r="B62">
        <v>3</v>
      </c>
      <c r="C62" t="s">
        <v>27</v>
      </c>
      <c r="D62">
        <v>0.12215603861014342</v>
      </c>
      <c r="F62">
        <v>3</v>
      </c>
      <c r="G62" t="s">
        <v>110</v>
      </c>
      <c r="H62">
        <v>7.2945673427402324E-2</v>
      </c>
      <c r="K62" t="s">
        <v>34</v>
      </c>
      <c r="L62">
        <v>2.3855297337616526E-2</v>
      </c>
      <c r="N62">
        <v>3</v>
      </c>
      <c r="O62" t="s">
        <v>116</v>
      </c>
      <c r="P62">
        <v>0.16615783377993215</v>
      </c>
      <c r="R62">
        <v>3</v>
      </c>
      <c r="S62" t="s">
        <v>27</v>
      </c>
      <c r="T62">
        <v>0.14720374227064759</v>
      </c>
      <c r="V62">
        <v>3</v>
      </c>
      <c r="W62" t="s">
        <v>43</v>
      </c>
      <c r="Y62">
        <v>3.7538198811995813E-2</v>
      </c>
    </row>
    <row r="63" spans="2:25" x14ac:dyDescent="0.35">
      <c r="B63">
        <v>4</v>
      </c>
      <c r="C63" t="s">
        <v>116</v>
      </c>
      <c r="D63">
        <v>8.6304887515150419E-2</v>
      </c>
      <c r="G63" t="s">
        <v>34</v>
      </c>
      <c r="H63">
        <v>1.6079773111789607E-2</v>
      </c>
      <c r="N63">
        <v>4</v>
      </c>
      <c r="O63" t="s">
        <v>27</v>
      </c>
      <c r="P63">
        <v>0.15270101821055959</v>
      </c>
      <c r="R63">
        <v>4</v>
      </c>
      <c r="S63" t="s">
        <v>26</v>
      </c>
      <c r="T63">
        <v>0.10209779584554453</v>
      </c>
      <c r="V63">
        <v>4</v>
      </c>
      <c r="W63" t="s">
        <v>50</v>
      </c>
      <c r="Y63">
        <v>1.259155330229151E-2</v>
      </c>
    </row>
    <row r="64" spans="2:25" x14ac:dyDescent="0.35">
      <c r="B64">
        <v>5</v>
      </c>
      <c r="C64" t="s">
        <v>108</v>
      </c>
      <c r="D64">
        <v>7.8673843447612926E-2</v>
      </c>
      <c r="N64">
        <v>5</v>
      </c>
      <c r="O64" t="s">
        <v>117</v>
      </c>
      <c r="P64">
        <v>3.8602466870445634E-2</v>
      </c>
      <c r="R64">
        <v>5</v>
      </c>
      <c r="S64" t="s">
        <v>112</v>
      </c>
      <c r="T64">
        <v>7.1039379241263925E-2</v>
      </c>
      <c r="W64" t="s">
        <v>34</v>
      </c>
      <c r="Y64">
        <v>7.9569158426687197E-3</v>
      </c>
    </row>
    <row r="65" spans="2:25" x14ac:dyDescent="0.35">
      <c r="B65">
        <v>6</v>
      </c>
      <c r="C65" t="s">
        <v>26</v>
      </c>
      <c r="D65">
        <v>6.5983281118576487E-2</v>
      </c>
      <c r="N65">
        <v>6</v>
      </c>
      <c r="O65" t="s">
        <v>113</v>
      </c>
      <c r="P65">
        <v>2.6706246943855424E-2</v>
      </c>
      <c r="R65">
        <v>6</v>
      </c>
      <c r="S65" t="s">
        <v>31</v>
      </c>
      <c r="T65">
        <v>4.1710264097370671E-2</v>
      </c>
    </row>
    <row r="66" spans="2:25" x14ac:dyDescent="0.35">
      <c r="B66">
        <v>7</v>
      </c>
      <c r="C66" t="s">
        <v>112</v>
      </c>
      <c r="D66">
        <v>4.5910994376966656E-2</v>
      </c>
      <c r="O66" t="s">
        <v>34</v>
      </c>
      <c r="P66">
        <v>1.6400000000000001E-2</v>
      </c>
      <c r="S66" t="s">
        <v>34</v>
      </c>
      <c r="T66">
        <v>4.0000000000000002E-4</v>
      </c>
    </row>
    <row r="67" spans="2:25" x14ac:dyDescent="0.35">
      <c r="B67">
        <v>8</v>
      </c>
      <c r="C67" t="s">
        <v>30</v>
      </c>
      <c r="D67">
        <v>4.2817918216082558E-2</v>
      </c>
    </row>
    <row r="68" spans="2:25" x14ac:dyDescent="0.35">
      <c r="B68">
        <v>9</v>
      </c>
      <c r="C68" t="s">
        <v>31</v>
      </c>
      <c r="D68">
        <v>2.6956312412761849E-2</v>
      </c>
    </row>
    <row r="69" spans="2:25" x14ac:dyDescent="0.35">
      <c r="C69" t="s">
        <v>34</v>
      </c>
      <c r="D69">
        <v>2.0095334060787059E-2</v>
      </c>
    </row>
    <row r="70" spans="2:25" x14ac:dyDescent="0.35">
      <c r="B70" t="s">
        <v>118</v>
      </c>
      <c r="D70">
        <v>30493.785181493997</v>
      </c>
      <c r="F70" t="s">
        <v>118</v>
      </c>
      <c r="H70">
        <v>5522.4659814939978</v>
      </c>
      <c r="J70" t="s">
        <v>118</v>
      </c>
      <c r="L70">
        <v>1915.4571562580002</v>
      </c>
      <c r="N70" t="s">
        <v>118</v>
      </c>
      <c r="P70">
        <v>4564.4751303419989</v>
      </c>
      <c r="R70" t="s">
        <v>118</v>
      </c>
      <c r="T70">
        <v>19707.379413400002</v>
      </c>
      <c r="V70" t="s">
        <v>118</v>
      </c>
      <c r="Y70">
        <v>1691.6102000000001</v>
      </c>
    </row>
    <row r="72" spans="2:25" x14ac:dyDescent="0.35">
      <c r="B72" t="s">
        <v>119</v>
      </c>
      <c r="J72" t="s">
        <v>100</v>
      </c>
    </row>
    <row r="74" spans="2:25" x14ac:dyDescent="0.35">
      <c r="B74" t="s">
        <v>101</v>
      </c>
      <c r="F74" t="s">
        <v>102</v>
      </c>
      <c r="J74" t="s">
        <v>103</v>
      </c>
      <c r="N74" t="s">
        <v>104</v>
      </c>
      <c r="R74" t="s">
        <v>105</v>
      </c>
      <c r="V74" t="s">
        <v>106</v>
      </c>
    </row>
    <row r="75" spans="2:25" x14ac:dyDescent="0.35">
      <c r="B75" t="s">
        <v>20</v>
      </c>
      <c r="C75" t="s">
        <v>21</v>
      </c>
      <c r="D75" t="s">
        <v>22</v>
      </c>
      <c r="F75" t="s">
        <v>20</v>
      </c>
      <c r="G75" t="s">
        <v>21</v>
      </c>
      <c r="H75" t="s">
        <v>22</v>
      </c>
      <c r="J75" t="s">
        <v>20</v>
      </c>
      <c r="K75" t="s">
        <v>21</v>
      </c>
      <c r="L75" t="s">
        <v>22</v>
      </c>
      <c r="N75" t="s">
        <v>20</v>
      </c>
      <c r="O75" t="s">
        <v>21</v>
      </c>
      <c r="P75" t="s">
        <v>22</v>
      </c>
      <c r="R75" t="s">
        <v>20</v>
      </c>
      <c r="S75" t="s">
        <v>21</v>
      </c>
      <c r="T75" t="s">
        <v>22</v>
      </c>
      <c r="V75" t="s">
        <v>20</v>
      </c>
      <c r="W75" t="s">
        <v>21</v>
      </c>
      <c r="Y75" t="s">
        <v>22</v>
      </c>
    </row>
    <row r="76" spans="2:25" x14ac:dyDescent="0.35">
      <c r="B76">
        <v>1</v>
      </c>
      <c r="C76" t="s">
        <v>24</v>
      </c>
      <c r="D76">
        <v>0.25940000000000002</v>
      </c>
      <c r="F76">
        <v>1</v>
      </c>
      <c r="G76" t="s">
        <v>109</v>
      </c>
      <c r="H76">
        <v>0.55589999999999995</v>
      </c>
      <c r="J76">
        <v>1</v>
      </c>
      <c r="K76" t="s">
        <v>109</v>
      </c>
      <c r="L76">
        <v>0.74070000000000003</v>
      </c>
      <c r="N76">
        <v>1</v>
      </c>
      <c r="O76" t="s">
        <v>30</v>
      </c>
      <c r="P76">
        <v>0.26679999999999998</v>
      </c>
      <c r="R76">
        <v>1</v>
      </c>
      <c r="S76" t="s">
        <v>24</v>
      </c>
      <c r="T76">
        <v>0.34470000000000001</v>
      </c>
      <c r="V76">
        <v>1</v>
      </c>
      <c r="W76" t="s">
        <v>109</v>
      </c>
      <c r="Y76">
        <v>0.94769999999999999</v>
      </c>
    </row>
    <row r="77" spans="2:25" x14ac:dyDescent="0.35">
      <c r="B77">
        <v>2</v>
      </c>
      <c r="C77" t="s">
        <v>26</v>
      </c>
      <c r="D77">
        <v>0.2009</v>
      </c>
      <c r="F77">
        <v>2</v>
      </c>
      <c r="G77" t="s">
        <v>28</v>
      </c>
      <c r="H77">
        <v>0.37869999999999998</v>
      </c>
      <c r="J77">
        <v>2</v>
      </c>
      <c r="K77" t="s">
        <v>120</v>
      </c>
      <c r="L77">
        <v>7.9100000000000004E-2</v>
      </c>
      <c r="N77">
        <v>2</v>
      </c>
      <c r="O77" t="s">
        <v>23</v>
      </c>
      <c r="P77">
        <v>0.1653</v>
      </c>
      <c r="R77">
        <v>2</v>
      </c>
      <c r="S77" t="s">
        <v>26</v>
      </c>
      <c r="T77">
        <v>0.26700000000000002</v>
      </c>
      <c r="V77">
        <v>2</v>
      </c>
      <c r="W77" t="s">
        <v>43</v>
      </c>
      <c r="Y77">
        <v>3.8100000000000002E-2</v>
      </c>
    </row>
    <row r="78" spans="2:25" x14ac:dyDescent="0.35">
      <c r="B78">
        <v>3</v>
      </c>
      <c r="C78" t="s">
        <v>23</v>
      </c>
      <c r="D78">
        <v>0.13469999999999999</v>
      </c>
      <c r="F78">
        <v>3</v>
      </c>
      <c r="G78" t="s">
        <v>110</v>
      </c>
      <c r="H78">
        <v>4.5999999999999999E-2</v>
      </c>
      <c r="J78">
        <v>3</v>
      </c>
      <c r="K78" t="s">
        <v>27</v>
      </c>
      <c r="L78">
        <v>5.2299999999999999E-2</v>
      </c>
      <c r="N78">
        <v>3</v>
      </c>
      <c r="O78" t="s">
        <v>109</v>
      </c>
      <c r="P78">
        <v>0.16389999999999999</v>
      </c>
      <c r="R78">
        <v>3</v>
      </c>
      <c r="S78" t="s">
        <v>107</v>
      </c>
      <c r="T78">
        <v>0.1467</v>
      </c>
      <c r="V78">
        <v>3</v>
      </c>
      <c r="W78" t="s">
        <v>50</v>
      </c>
      <c r="Y78">
        <v>1.24E-2</v>
      </c>
    </row>
    <row r="79" spans="2:25" x14ac:dyDescent="0.35">
      <c r="B79">
        <v>4</v>
      </c>
      <c r="C79" t="s">
        <v>121</v>
      </c>
      <c r="D79">
        <v>0.1231</v>
      </c>
      <c r="F79">
        <v>4</v>
      </c>
      <c r="G79" t="s">
        <v>122</v>
      </c>
      <c r="H79">
        <v>1.3599999999999999E-2</v>
      </c>
      <c r="J79">
        <v>4</v>
      </c>
      <c r="K79" t="s">
        <v>23</v>
      </c>
      <c r="L79">
        <v>5.0799999999999998E-2</v>
      </c>
      <c r="N79">
        <v>4</v>
      </c>
      <c r="O79" t="s">
        <v>27</v>
      </c>
      <c r="P79">
        <v>0.14410000000000001</v>
      </c>
      <c r="R79">
        <v>4</v>
      </c>
      <c r="S79" t="s">
        <v>27</v>
      </c>
      <c r="T79">
        <v>0.1348</v>
      </c>
    </row>
    <row r="80" spans="2:25" x14ac:dyDescent="0.35">
      <c r="B80">
        <v>5</v>
      </c>
      <c r="C80" t="s">
        <v>109</v>
      </c>
      <c r="D80">
        <v>7.2800000000000004E-2</v>
      </c>
      <c r="G80" t="s">
        <v>34</v>
      </c>
      <c r="H80">
        <v>5.7000000000000002E-3</v>
      </c>
      <c r="J80">
        <v>5</v>
      </c>
      <c r="K80" t="s">
        <v>44</v>
      </c>
      <c r="L80">
        <v>4.2200000000000001E-2</v>
      </c>
      <c r="N80">
        <v>5</v>
      </c>
      <c r="O80" t="s">
        <v>123</v>
      </c>
      <c r="P80">
        <v>7.6799999999999993E-2</v>
      </c>
      <c r="R80">
        <v>5</v>
      </c>
      <c r="S80" t="s">
        <v>112</v>
      </c>
      <c r="T80">
        <v>5.6500000000000002E-2</v>
      </c>
    </row>
    <row r="81" spans="2:25" x14ac:dyDescent="0.35">
      <c r="B81">
        <v>6</v>
      </c>
      <c r="C81" t="s">
        <v>108</v>
      </c>
      <c r="D81">
        <v>4.9599999999999998E-2</v>
      </c>
      <c r="J81">
        <v>6</v>
      </c>
      <c r="K81" t="s">
        <v>113</v>
      </c>
      <c r="L81">
        <v>2.4799999999999999E-2</v>
      </c>
      <c r="N81">
        <v>6</v>
      </c>
      <c r="O81" t="s">
        <v>124</v>
      </c>
      <c r="P81">
        <v>5.2200000000000003E-2</v>
      </c>
      <c r="R81">
        <v>6</v>
      </c>
      <c r="S81" t="s">
        <v>113</v>
      </c>
      <c r="T81">
        <v>2.9499999999999998E-2</v>
      </c>
    </row>
    <row r="82" spans="2:25" x14ac:dyDescent="0.35">
      <c r="B82">
        <v>7</v>
      </c>
      <c r="C82" t="s">
        <v>112</v>
      </c>
      <c r="D82">
        <v>4.2500000000000003E-2</v>
      </c>
      <c r="K82" t="s">
        <v>34</v>
      </c>
      <c r="L82">
        <v>1.01E-2</v>
      </c>
      <c r="N82">
        <v>7</v>
      </c>
      <c r="O82" t="s">
        <v>120</v>
      </c>
      <c r="P82">
        <v>4.9099999999999998E-2</v>
      </c>
      <c r="R82">
        <v>7</v>
      </c>
      <c r="S82" t="s">
        <v>31</v>
      </c>
      <c r="T82">
        <v>2.0500000000000001E-2</v>
      </c>
    </row>
    <row r="83" spans="2:25" x14ac:dyDescent="0.35">
      <c r="B83">
        <v>8</v>
      </c>
      <c r="C83" t="s">
        <v>30</v>
      </c>
      <c r="D83">
        <v>3.4000000000000002E-2</v>
      </c>
      <c r="N83">
        <v>8</v>
      </c>
      <c r="O83" t="s">
        <v>42</v>
      </c>
      <c r="P83">
        <v>2.8000000000000001E-2</v>
      </c>
    </row>
    <row r="84" spans="2:25" x14ac:dyDescent="0.35">
      <c r="B84">
        <v>9</v>
      </c>
      <c r="C84" t="s">
        <v>113</v>
      </c>
      <c r="D84">
        <v>2.6800000000000001E-2</v>
      </c>
      <c r="N84">
        <v>9</v>
      </c>
      <c r="O84" t="s">
        <v>113</v>
      </c>
      <c r="P84">
        <v>2.35E-2</v>
      </c>
    </row>
    <row r="85" spans="2:25" x14ac:dyDescent="0.35">
      <c r="B85">
        <v>10</v>
      </c>
      <c r="C85" t="s">
        <v>31</v>
      </c>
      <c r="D85">
        <v>1.54E-2</v>
      </c>
      <c r="N85">
        <v>10</v>
      </c>
      <c r="O85" t="s">
        <v>125</v>
      </c>
      <c r="P85">
        <v>2.2599999999999999E-2</v>
      </c>
    </row>
    <row r="86" spans="2:25" x14ac:dyDescent="0.35">
      <c r="C86" t="s">
        <v>34</v>
      </c>
      <c r="D86">
        <v>4.0899999999999999E-2</v>
      </c>
      <c r="O86" t="s">
        <v>34</v>
      </c>
      <c r="P86">
        <v>7.7000000000000002E-3</v>
      </c>
    </row>
    <row r="87" spans="2:25" x14ac:dyDescent="0.35">
      <c r="B87" t="s">
        <v>126</v>
      </c>
      <c r="D87">
        <v>30854.86</v>
      </c>
      <c r="F87" t="s">
        <v>126</v>
      </c>
      <c r="H87">
        <v>4039.47</v>
      </c>
      <c r="J87" t="s">
        <v>126</v>
      </c>
      <c r="L87">
        <v>1912.89</v>
      </c>
      <c r="N87" t="s">
        <v>126</v>
      </c>
      <c r="P87">
        <v>3935.58</v>
      </c>
      <c r="R87" t="s">
        <v>126</v>
      </c>
      <c r="T87">
        <v>23221.3</v>
      </c>
      <c r="V87" t="s">
        <v>126</v>
      </c>
      <c r="Y87">
        <v>194.08</v>
      </c>
    </row>
    <row r="89" spans="2:25" x14ac:dyDescent="0.35">
      <c r="B89" t="s">
        <v>127</v>
      </c>
      <c r="J89" t="s">
        <v>100</v>
      </c>
    </row>
    <row r="91" spans="2:25" x14ac:dyDescent="0.35">
      <c r="B91" t="s">
        <v>101</v>
      </c>
      <c r="F91" t="s">
        <v>102</v>
      </c>
      <c r="J91" t="s">
        <v>103</v>
      </c>
      <c r="N91" t="s">
        <v>104</v>
      </c>
      <c r="R91" t="s">
        <v>105</v>
      </c>
      <c r="V91" t="s">
        <v>106</v>
      </c>
    </row>
    <row r="92" spans="2:25" x14ac:dyDescent="0.35">
      <c r="B92" t="s">
        <v>20</v>
      </c>
      <c r="C92" t="s">
        <v>21</v>
      </c>
      <c r="D92" t="s">
        <v>22</v>
      </c>
      <c r="F92" t="s">
        <v>20</v>
      </c>
      <c r="G92" t="s">
        <v>21</v>
      </c>
      <c r="H92" t="s">
        <v>22</v>
      </c>
      <c r="J92" t="s">
        <v>20</v>
      </c>
      <c r="K92" t="s">
        <v>21</v>
      </c>
      <c r="L92" t="s">
        <v>22</v>
      </c>
      <c r="N92" t="s">
        <v>20</v>
      </c>
      <c r="O92" t="s">
        <v>21</v>
      </c>
      <c r="P92" t="s">
        <v>22</v>
      </c>
      <c r="R92" t="s">
        <v>20</v>
      </c>
      <c r="S92" t="s">
        <v>21</v>
      </c>
      <c r="T92" t="s">
        <v>22</v>
      </c>
      <c r="V92" t="s">
        <v>20</v>
      </c>
      <c r="W92" t="s">
        <v>21</v>
      </c>
      <c r="Y92" t="s">
        <v>22</v>
      </c>
    </row>
    <row r="93" spans="2:25" x14ac:dyDescent="0.35">
      <c r="B93">
        <v>1</v>
      </c>
      <c r="C93" t="s">
        <v>24</v>
      </c>
      <c r="D93">
        <v>0.24460000000000001</v>
      </c>
      <c r="F93">
        <v>1</v>
      </c>
      <c r="G93" t="s">
        <v>109</v>
      </c>
      <c r="H93">
        <v>0.58260000000000001</v>
      </c>
      <c r="J93">
        <v>1</v>
      </c>
      <c r="K93" t="s">
        <v>109</v>
      </c>
      <c r="L93">
        <v>0.79710000000000003</v>
      </c>
      <c r="N93">
        <v>1</v>
      </c>
      <c r="O93" t="s">
        <v>30</v>
      </c>
      <c r="P93">
        <v>0.29559999999999997</v>
      </c>
      <c r="R93">
        <v>1</v>
      </c>
      <c r="S93" t="s">
        <v>24</v>
      </c>
      <c r="T93">
        <v>0.3992</v>
      </c>
      <c r="V93">
        <v>1</v>
      </c>
      <c r="W93" t="s">
        <v>109</v>
      </c>
      <c r="Y93">
        <v>0.50009999999999999</v>
      </c>
    </row>
    <row r="94" spans="2:25" x14ac:dyDescent="0.35">
      <c r="B94">
        <v>2</v>
      </c>
      <c r="C94" t="s">
        <v>121</v>
      </c>
      <c r="D94">
        <v>0.1246</v>
      </c>
      <c r="F94">
        <v>2</v>
      </c>
      <c r="G94" t="s">
        <v>28</v>
      </c>
      <c r="H94">
        <v>0.36980000000000002</v>
      </c>
      <c r="J94">
        <v>2</v>
      </c>
      <c r="K94" t="s">
        <v>121</v>
      </c>
      <c r="L94">
        <v>7.0099999999999996E-2</v>
      </c>
      <c r="N94">
        <v>2</v>
      </c>
      <c r="O94" t="s">
        <v>23</v>
      </c>
      <c r="P94">
        <v>0.1822</v>
      </c>
      <c r="R94">
        <v>2</v>
      </c>
      <c r="S94" t="s">
        <v>26</v>
      </c>
      <c r="T94">
        <v>0.1673</v>
      </c>
      <c r="V94">
        <v>2</v>
      </c>
      <c r="W94" t="s">
        <v>117</v>
      </c>
      <c r="Y94">
        <v>0.2581</v>
      </c>
    </row>
    <row r="95" spans="2:25" x14ac:dyDescent="0.35">
      <c r="B95">
        <v>3</v>
      </c>
      <c r="C95" t="s">
        <v>23</v>
      </c>
      <c r="D95">
        <v>0.121</v>
      </c>
      <c r="F95">
        <v>3</v>
      </c>
      <c r="G95" t="s">
        <v>110</v>
      </c>
      <c r="H95">
        <v>2.4500000000000001E-2</v>
      </c>
      <c r="J95">
        <v>3</v>
      </c>
      <c r="K95" t="s">
        <v>128</v>
      </c>
      <c r="L95">
        <v>6.1499999999999999E-2</v>
      </c>
      <c r="N95">
        <v>3</v>
      </c>
      <c r="O95" t="s">
        <v>121</v>
      </c>
      <c r="P95">
        <v>0.1671</v>
      </c>
      <c r="R95">
        <v>3</v>
      </c>
      <c r="S95" t="s">
        <v>23</v>
      </c>
      <c r="T95">
        <v>0.14499999999999999</v>
      </c>
      <c r="V95">
        <v>3</v>
      </c>
      <c r="W95" t="s">
        <v>129</v>
      </c>
      <c r="Y95">
        <v>8.0600000000000005E-2</v>
      </c>
    </row>
    <row r="96" spans="2:25" x14ac:dyDescent="0.35">
      <c r="B96">
        <v>4</v>
      </c>
      <c r="C96" t="s">
        <v>109</v>
      </c>
      <c r="D96">
        <v>0.1205</v>
      </c>
      <c r="F96">
        <v>4</v>
      </c>
      <c r="G96" t="s">
        <v>122</v>
      </c>
      <c r="H96">
        <v>1.7000000000000001E-2</v>
      </c>
      <c r="J96">
        <v>4</v>
      </c>
      <c r="K96" t="s">
        <v>124</v>
      </c>
      <c r="L96">
        <v>3.2800000000000003E-2</v>
      </c>
      <c r="N96">
        <v>4</v>
      </c>
      <c r="O96" t="s">
        <v>109</v>
      </c>
      <c r="P96">
        <v>0.107</v>
      </c>
      <c r="R96">
        <v>4</v>
      </c>
      <c r="S96" t="s">
        <v>121</v>
      </c>
      <c r="T96">
        <v>0.14099999999999999</v>
      </c>
      <c r="W96" t="s">
        <v>34</v>
      </c>
      <c r="Y96">
        <v>0.16120000000000001</v>
      </c>
    </row>
    <row r="97" spans="2:25" x14ac:dyDescent="0.35">
      <c r="B97">
        <v>5</v>
      </c>
      <c r="C97" t="s">
        <v>26</v>
      </c>
      <c r="D97">
        <v>0.10249999999999999</v>
      </c>
      <c r="G97" t="s">
        <v>34</v>
      </c>
      <c r="H97">
        <v>6.1000000000000004E-3</v>
      </c>
      <c r="J97">
        <v>5</v>
      </c>
      <c r="K97" t="s">
        <v>117</v>
      </c>
      <c r="L97">
        <v>2.58E-2</v>
      </c>
      <c r="N97">
        <v>5</v>
      </c>
      <c r="O97" t="s">
        <v>47</v>
      </c>
      <c r="P97">
        <v>9.0300000000000005E-2</v>
      </c>
      <c r="R97">
        <v>5</v>
      </c>
      <c r="S97" t="s">
        <v>113</v>
      </c>
      <c r="T97">
        <v>9.1700000000000004E-2</v>
      </c>
    </row>
    <row r="98" spans="2:25" x14ac:dyDescent="0.35">
      <c r="B98">
        <v>6</v>
      </c>
      <c r="C98" t="s">
        <v>28</v>
      </c>
      <c r="D98">
        <v>7.6499999999999999E-2</v>
      </c>
      <c r="K98" t="s">
        <v>34</v>
      </c>
      <c r="L98">
        <v>1.2702545354840276E-2</v>
      </c>
      <c r="N98">
        <v>6</v>
      </c>
      <c r="O98" t="s">
        <v>124</v>
      </c>
      <c r="P98">
        <v>4.41E-2</v>
      </c>
      <c r="R98">
        <v>6</v>
      </c>
      <c r="S98" t="s">
        <v>130</v>
      </c>
      <c r="T98">
        <v>1.9300000000000001E-2</v>
      </c>
    </row>
    <row r="99" spans="2:25" x14ac:dyDescent="0.35">
      <c r="B99">
        <v>7</v>
      </c>
      <c r="C99" t="s">
        <v>113</v>
      </c>
      <c r="D99">
        <v>5.8999999999999997E-2</v>
      </c>
      <c r="N99">
        <v>7</v>
      </c>
      <c r="O99" t="s">
        <v>128</v>
      </c>
      <c r="P99">
        <v>4.1399999999999999E-2</v>
      </c>
      <c r="R99">
        <v>7</v>
      </c>
      <c r="S99" t="s">
        <v>112</v>
      </c>
      <c r="T99">
        <v>1.8599999999999998E-2</v>
      </c>
    </row>
    <row r="100" spans="2:25" x14ac:dyDescent="0.35">
      <c r="B100">
        <v>8</v>
      </c>
      <c r="C100" t="s">
        <v>30</v>
      </c>
      <c r="D100">
        <v>5.2200000000000003E-2</v>
      </c>
      <c r="N100">
        <v>8</v>
      </c>
      <c r="O100" t="s">
        <v>131</v>
      </c>
      <c r="P100">
        <v>2.0199999999999999E-2</v>
      </c>
      <c r="S100" t="s">
        <v>34</v>
      </c>
      <c r="T100">
        <v>1.7987389915422605E-2</v>
      </c>
    </row>
    <row r="101" spans="2:25" x14ac:dyDescent="0.35">
      <c r="B101">
        <v>9</v>
      </c>
      <c r="C101" t="s">
        <v>47</v>
      </c>
      <c r="D101">
        <v>1.7999999999999999E-2</v>
      </c>
      <c r="N101">
        <v>9</v>
      </c>
      <c r="O101" t="s">
        <v>132</v>
      </c>
      <c r="P101">
        <v>1.89E-2</v>
      </c>
    </row>
    <row r="102" spans="2:25" x14ac:dyDescent="0.35">
      <c r="C102" t="s">
        <v>34</v>
      </c>
      <c r="D102">
        <v>8.1100000000000005E-2</v>
      </c>
      <c r="O102" t="s">
        <v>34</v>
      </c>
      <c r="P102">
        <v>3.3092595388729253E-2</v>
      </c>
    </row>
    <row r="103" spans="2:25" x14ac:dyDescent="0.35">
      <c r="B103" t="s">
        <v>133</v>
      </c>
      <c r="D103">
        <v>18470.21</v>
      </c>
      <c r="F103" t="s">
        <v>133</v>
      </c>
      <c r="H103">
        <v>3821.49</v>
      </c>
      <c r="J103" t="s">
        <v>133</v>
      </c>
      <c r="L103">
        <v>2277.16</v>
      </c>
      <c r="N103" t="s">
        <v>133</v>
      </c>
      <c r="P103">
        <v>3260.96</v>
      </c>
      <c r="R103" t="s">
        <v>133</v>
      </c>
      <c r="T103">
        <v>11319.04</v>
      </c>
      <c r="V103" t="s">
        <v>133</v>
      </c>
      <c r="Y103">
        <v>124.04</v>
      </c>
    </row>
    <row r="105" spans="2:25" x14ac:dyDescent="0.35">
      <c r="B105" t="s">
        <v>138</v>
      </c>
      <c r="F105" t="s">
        <v>134</v>
      </c>
    </row>
    <row r="107" spans="2:25" x14ac:dyDescent="0.35">
      <c r="B107" t="s">
        <v>101</v>
      </c>
      <c r="F107" t="s">
        <v>102</v>
      </c>
      <c r="J107" t="s">
        <v>103</v>
      </c>
      <c r="N107" t="s">
        <v>104</v>
      </c>
      <c r="R107" t="s">
        <v>105</v>
      </c>
    </row>
    <row r="108" spans="2:25" x14ac:dyDescent="0.35">
      <c r="B108" t="s">
        <v>20</v>
      </c>
      <c r="C108" t="s">
        <v>21</v>
      </c>
      <c r="D108" t="s">
        <v>22</v>
      </c>
      <c r="F108" t="s">
        <v>20</v>
      </c>
      <c r="G108" t="s">
        <v>21</v>
      </c>
      <c r="H108" t="s">
        <v>22</v>
      </c>
      <c r="J108" t="s">
        <v>20</v>
      </c>
      <c r="K108" t="s">
        <v>21</v>
      </c>
      <c r="L108" t="s">
        <v>22</v>
      </c>
      <c r="N108" t="s">
        <v>20</v>
      </c>
      <c r="O108" t="s">
        <v>21</v>
      </c>
      <c r="P108" t="s">
        <v>22</v>
      </c>
      <c r="R108" t="s">
        <v>20</v>
      </c>
      <c r="S108" t="s">
        <v>21</v>
      </c>
      <c r="T108" t="s">
        <v>22</v>
      </c>
    </row>
    <row r="109" spans="2:25" x14ac:dyDescent="0.35">
      <c r="B109">
        <v>1</v>
      </c>
      <c r="C109" t="s">
        <v>24</v>
      </c>
      <c r="D109">
        <v>0.31230000000000002</v>
      </c>
      <c r="F109">
        <v>1</v>
      </c>
      <c r="G109" t="s">
        <v>109</v>
      </c>
      <c r="H109">
        <v>0.6956</v>
      </c>
      <c r="J109">
        <v>1</v>
      </c>
      <c r="K109" t="s">
        <v>109</v>
      </c>
      <c r="L109">
        <v>0.71789999999999998</v>
      </c>
      <c r="N109">
        <v>1</v>
      </c>
      <c r="O109" t="s">
        <v>30</v>
      </c>
      <c r="P109">
        <v>0.2641</v>
      </c>
      <c r="R109">
        <v>1</v>
      </c>
      <c r="S109" t="s">
        <v>24</v>
      </c>
      <c r="T109">
        <v>0.61140000000000005</v>
      </c>
    </row>
    <row r="110" spans="2:25" x14ac:dyDescent="0.35">
      <c r="B110">
        <v>2</v>
      </c>
      <c r="C110" t="s">
        <v>109</v>
      </c>
      <c r="D110">
        <v>0.15920000000000001</v>
      </c>
      <c r="F110">
        <v>2</v>
      </c>
      <c r="G110" t="s">
        <v>108</v>
      </c>
      <c r="H110">
        <v>0.1862</v>
      </c>
      <c r="J110">
        <v>2</v>
      </c>
      <c r="K110" t="s">
        <v>42</v>
      </c>
      <c r="L110">
        <v>0.10730000000000001</v>
      </c>
      <c r="N110">
        <v>2</v>
      </c>
      <c r="O110" t="s">
        <v>121</v>
      </c>
      <c r="P110">
        <v>0.1852</v>
      </c>
      <c r="R110">
        <v>2</v>
      </c>
      <c r="S110" t="s">
        <v>121</v>
      </c>
      <c r="T110">
        <v>0.1825</v>
      </c>
    </row>
    <row r="111" spans="2:25" x14ac:dyDescent="0.35">
      <c r="B111">
        <v>3</v>
      </c>
      <c r="C111" t="s">
        <v>121</v>
      </c>
      <c r="D111">
        <v>0.1515</v>
      </c>
      <c r="F111">
        <v>3</v>
      </c>
      <c r="G111" t="s">
        <v>139</v>
      </c>
      <c r="H111">
        <v>8.0500000000000002E-2</v>
      </c>
      <c r="J111">
        <v>3</v>
      </c>
      <c r="K111" t="s">
        <v>120</v>
      </c>
      <c r="L111">
        <v>6.3899999999999998E-2</v>
      </c>
      <c r="N111">
        <v>3</v>
      </c>
      <c r="O111" t="s">
        <v>132</v>
      </c>
      <c r="P111">
        <v>0.161</v>
      </c>
      <c r="R111">
        <v>3</v>
      </c>
      <c r="S111" t="s">
        <v>26</v>
      </c>
      <c r="T111">
        <v>0.1033</v>
      </c>
    </row>
    <row r="112" spans="2:25" x14ac:dyDescent="0.35">
      <c r="B112">
        <v>4</v>
      </c>
      <c r="C112" t="s">
        <v>30</v>
      </c>
      <c r="D112">
        <v>6.4000000000000001E-2</v>
      </c>
      <c r="F112">
        <v>4</v>
      </c>
      <c r="G112" t="s">
        <v>140</v>
      </c>
      <c r="H112">
        <v>1.5100000000000001E-2</v>
      </c>
      <c r="J112">
        <v>4</v>
      </c>
      <c r="K112" t="s">
        <v>121</v>
      </c>
      <c r="L112">
        <v>5.33E-2</v>
      </c>
      <c r="N112">
        <v>4</v>
      </c>
      <c r="O112" t="s">
        <v>109</v>
      </c>
      <c r="P112">
        <v>0.13780000000000001</v>
      </c>
      <c r="R112">
        <v>4</v>
      </c>
      <c r="S112" t="s">
        <v>23</v>
      </c>
      <c r="T112">
        <v>3.7199999999999997E-2</v>
      </c>
    </row>
    <row r="113" spans="2:20" x14ac:dyDescent="0.35">
      <c r="B113">
        <v>5</v>
      </c>
      <c r="C113" t="s">
        <v>26</v>
      </c>
      <c r="D113">
        <v>5.2699999999999997E-2</v>
      </c>
      <c r="G113" t="s">
        <v>34</v>
      </c>
      <c r="H113">
        <v>2.2599999999999999E-2</v>
      </c>
      <c r="J113">
        <v>5</v>
      </c>
      <c r="K113" t="s">
        <v>44</v>
      </c>
      <c r="L113">
        <v>3.9199999999999999E-2</v>
      </c>
      <c r="N113">
        <v>5</v>
      </c>
      <c r="O113" t="s">
        <v>123</v>
      </c>
      <c r="P113">
        <v>0.1026</v>
      </c>
      <c r="R113">
        <v>5</v>
      </c>
      <c r="S113" t="s">
        <v>141</v>
      </c>
      <c r="T113">
        <v>3.3000000000000002E-2</v>
      </c>
    </row>
    <row r="114" spans="2:20" x14ac:dyDescent="0.35">
      <c r="B114">
        <v>6</v>
      </c>
      <c r="C114" t="s">
        <v>108</v>
      </c>
      <c r="D114">
        <v>4.2599999999999999E-2</v>
      </c>
      <c r="K114" t="s">
        <v>34</v>
      </c>
      <c r="L114">
        <v>1.83E-2</v>
      </c>
      <c r="N114">
        <v>6</v>
      </c>
      <c r="O114" t="s">
        <v>141</v>
      </c>
      <c r="P114">
        <v>6.2300000000000001E-2</v>
      </c>
      <c r="S114" t="s">
        <v>34</v>
      </c>
      <c r="T114">
        <v>3.27E-2</v>
      </c>
    </row>
    <row r="115" spans="2:20" x14ac:dyDescent="0.35">
      <c r="B115">
        <v>7</v>
      </c>
      <c r="C115" t="s">
        <v>132</v>
      </c>
      <c r="D115">
        <v>3.9600000000000003E-2</v>
      </c>
      <c r="N115">
        <v>7</v>
      </c>
      <c r="O115" t="s">
        <v>23</v>
      </c>
      <c r="P115">
        <v>4.8099999999999997E-2</v>
      </c>
    </row>
    <row r="116" spans="2:20" x14ac:dyDescent="0.35">
      <c r="B116">
        <v>8</v>
      </c>
      <c r="C116" t="s">
        <v>141</v>
      </c>
      <c r="D116">
        <v>3.5400000000000001E-2</v>
      </c>
      <c r="N116">
        <v>8</v>
      </c>
      <c r="O116" t="s">
        <v>44</v>
      </c>
      <c r="P116">
        <v>1.89E-2</v>
      </c>
    </row>
    <row r="117" spans="2:20" x14ac:dyDescent="0.35">
      <c r="B117">
        <v>9</v>
      </c>
      <c r="C117" t="s">
        <v>23</v>
      </c>
      <c r="D117">
        <v>3.0599999999999999E-2</v>
      </c>
      <c r="O117" t="s">
        <v>34</v>
      </c>
      <c r="P117">
        <v>0.02</v>
      </c>
    </row>
    <row r="118" spans="2:20" x14ac:dyDescent="0.35">
      <c r="B118">
        <v>10</v>
      </c>
      <c r="C118" t="s">
        <v>123</v>
      </c>
      <c r="D118">
        <v>2.9600000000000001E-2</v>
      </c>
    </row>
    <row r="119" spans="2:20" x14ac:dyDescent="0.35">
      <c r="B119">
        <v>11</v>
      </c>
      <c r="C119" t="s">
        <v>139</v>
      </c>
      <c r="D119">
        <v>1.84E-2</v>
      </c>
    </row>
    <row r="120" spans="2:20" x14ac:dyDescent="0.35">
      <c r="B120">
        <v>12</v>
      </c>
      <c r="C120" t="s">
        <v>42</v>
      </c>
      <c r="D120">
        <v>1.7399999999999999E-2</v>
      </c>
    </row>
    <row r="121" spans="2:20" x14ac:dyDescent="0.35">
      <c r="C121" t="s">
        <v>34</v>
      </c>
      <c r="D121">
        <v>4.65E-2</v>
      </c>
    </row>
    <row r="122" spans="2:20" x14ac:dyDescent="0.35">
      <c r="B122" t="s">
        <v>142</v>
      </c>
      <c r="D122">
        <v>11583.952555</v>
      </c>
      <c r="F122" t="s">
        <v>142</v>
      </c>
      <c r="H122">
        <v>2651.4248549999998</v>
      </c>
      <c r="J122" t="s">
        <v>142</v>
      </c>
      <c r="L122">
        <v>1876.7811999999999</v>
      </c>
      <c r="N122" t="s">
        <v>142</v>
      </c>
      <c r="P122">
        <v>2807.2974000000004</v>
      </c>
      <c r="R122" t="s">
        <v>142</v>
      </c>
      <c r="T122">
        <v>5917.5950000000003</v>
      </c>
    </row>
    <row r="124" spans="2:20" x14ac:dyDescent="0.35">
      <c r="B124" t="s">
        <v>145</v>
      </c>
      <c r="K124" t="s">
        <v>134</v>
      </c>
    </row>
    <row r="126" spans="2:20" x14ac:dyDescent="0.35">
      <c r="B126" t="s">
        <v>101</v>
      </c>
      <c r="F126" t="s">
        <v>102</v>
      </c>
      <c r="J126" t="s">
        <v>103</v>
      </c>
      <c r="N126" t="s">
        <v>104</v>
      </c>
      <c r="R126" t="s">
        <v>105</v>
      </c>
    </row>
    <row r="127" spans="2:20" x14ac:dyDescent="0.35">
      <c r="B127" t="s">
        <v>20</v>
      </c>
      <c r="C127" t="s">
        <v>21</v>
      </c>
      <c r="D127" t="s">
        <v>22</v>
      </c>
      <c r="F127" t="s">
        <v>20</v>
      </c>
      <c r="G127" t="s">
        <v>21</v>
      </c>
      <c r="H127" t="s">
        <v>22</v>
      </c>
      <c r="J127" t="s">
        <v>20</v>
      </c>
      <c r="K127" t="s">
        <v>21</v>
      </c>
      <c r="L127" t="s">
        <v>22</v>
      </c>
      <c r="N127" t="s">
        <v>20</v>
      </c>
      <c r="O127" t="s">
        <v>21</v>
      </c>
      <c r="P127" t="s">
        <v>22</v>
      </c>
      <c r="R127" t="s">
        <v>20</v>
      </c>
      <c r="S127" t="s">
        <v>21</v>
      </c>
      <c r="T127" t="s">
        <v>22</v>
      </c>
    </row>
    <row r="128" spans="2:20" x14ac:dyDescent="0.35">
      <c r="B128">
        <v>1</v>
      </c>
      <c r="C128" t="s">
        <v>121</v>
      </c>
      <c r="D128">
        <v>0.19</v>
      </c>
      <c r="F128">
        <v>1</v>
      </c>
      <c r="G128" t="s">
        <v>109</v>
      </c>
      <c r="H128">
        <v>0.62</v>
      </c>
      <c r="J128">
        <v>1</v>
      </c>
      <c r="K128" t="s">
        <v>109</v>
      </c>
      <c r="L128">
        <v>0.63</v>
      </c>
      <c r="N128">
        <v>1</v>
      </c>
      <c r="O128" t="s">
        <v>121</v>
      </c>
      <c r="P128">
        <v>0.22</v>
      </c>
      <c r="R128">
        <v>1</v>
      </c>
      <c r="S128" t="s">
        <v>24</v>
      </c>
      <c r="T128">
        <v>0.35</v>
      </c>
    </row>
    <row r="129" spans="2:20" x14ac:dyDescent="0.35">
      <c r="B129">
        <v>2</v>
      </c>
      <c r="C129" t="s">
        <v>24</v>
      </c>
      <c r="D129">
        <v>0.18</v>
      </c>
      <c r="F129">
        <v>2</v>
      </c>
      <c r="G129" t="s">
        <v>108</v>
      </c>
      <c r="H129">
        <v>0.25</v>
      </c>
      <c r="J129">
        <v>2</v>
      </c>
      <c r="K129" t="s">
        <v>128</v>
      </c>
      <c r="L129">
        <v>0.11</v>
      </c>
      <c r="N129">
        <v>2</v>
      </c>
      <c r="O129" t="s">
        <v>132</v>
      </c>
      <c r="P129">
        <v>0.18</v>
      </c>
      <c r="R129">
        <v>2</v>
      </c>
      <c r="S129" t="s">
        <v>121</v>
      </c>
      <c r="T129">
        <v>0.24</v>
      </c>
    </row>
    <row r="130" spans="2:20" x14ac:dyDescent="0.35">
      <c r="B130">
        <v>3</v>
      </c>
      <c r="C130" t="s">
        <v>109</v>
      </c>
      <c r="D130">
        <v>0.13</v>
      </c>
      <c r="F130">
        <v>3</v>
      </c>
      <c r="G130" t="s">
        <v>143</v>
      </c>
      <c r="H130">
        <v>0.09</v>
      </c>
      <c r="J130">
        <v>3</v>
      </c>
      <c r="K130" t="s">
        <v>121</v>
      </c>
      <c r="L130">
        <v>0.09</v>
      </c>
      <c r="N130">
        <v>3</v>
      </c>
      <c r="O130" t="s">
        <v>30</v>
      </c>
      <c r="P130">
        <v>0.16</v>
      </c>
      <c r="R130">
        <v>3</v>
      </c>
      <c r="S130" t="s">
        <v>141</v>
      </c>
      <c r="T130">
        <v>0.09</v>
      </c>
    </row>
    <row r="131" spans="2:20" x14ac:dyDescent="0.35">
      <c r="B131">
        <v>4</v>
      </c>
      <c r="C131" t="s">
        <v>141</v>
      </c>
      <c r="D131">
        <v>0.06</v>
      </c>
      <c r="G131" t="s">
        <v>34</v>
      </c>
      <c r="H131">
        <v>0.03</v>
      </c>
      <c r="J131">
        <v>4</v>
      </c>
      <c r="K131" t="s">
        <v>135</v>
      </c>
      <c r="L131">
        <v>7.0000000000000007E-2</v>
      </c>
      <c r="N131">
        <v>4</v>
      </c>
      <c r="O131" t="s">
        <v>123</v>
      </c>
      <c r="P131">
        <v>0.12</v>
      </c>
      <c r="R131">
        <v>4</v>
      </c>
      <c r="S131" t="s">
        <v>136</v>
      </c>
      <c r="T131">
        <v>0.09</v>
      </c>
    </row>
    <row r="132" spans="2:20" x14ac:dyDescent="0.35">
      <c r="B132">
        <v>5</v>
      </c>
      <c r="C132" t="s">
        <v>108</v>
      </c>
      <c r="D132">
        <v>0.05</v>
      </c>
      <c r="J132">
        <v>5</v>
      </c>
      <c r="K132" t="s">
        <v>44</v>
      </c>
      <c r="L132">
        <v>0.03</v>
      </c>
      <c r="N132">
        <v>5</v>
      </c>
      <c r="O132" t="s">
        <v>109</v>
      </c>
      <c r="P132">
        <v>0.1</v>
      </c>
      <c r="R132">
        <v>5</v>
      </c>
      <c r="S132" t="s">
        <v>26</v>
      </c>
      <c r="T132">
        <v>0.08</v>
      </c>
    </row>
    <row r="133" spans="2:20" x14ac:dyDescent="0.35">
      <c r="B133">
        <v>6</v>
      </c>
      <c r="C133" t="s">
        <v>136</v>
      </c>
      <c r="D133">
        <v>0.05</v>
      </c>
      <c r="J133">
        <v>6</v>
      </c>
      <c r="K133" t="s">
        <v>144</v>
      </c>
      <c r="L133">
        <v>0.03</v>
      </c>
      <c r="N133">
        <v>6</v>
      </c>
      <c r="O133" t="s">
        <v>144</v>
      </c>
      <c r="P133">
        <v>0.05</v>
      </c>
      <c r="R133">
        <v>6</v>
      </c>
      <c r="S133" t="s">
        <v>137</v>
      </c>
      <c r="T133">
        <v>0.05</v>
      </c>
    </row>
    <row r="134" spans="2:20" x14ac:dyDescent="0.35">
      <c r="B134">
        <v>7</v>
      </c>
      <c r="C134" t="s">
        <v>132</v>
      </c>
      <c r="D134">
        <v>0.04</v>
      </c>
      <c r="K134" t="s">
        <v>34</v>
      </c>
      <c r="L134">
        <v>0.04</v>
      </c>
      <c r="N134">
        <v>7</v>
      </c>
      <c r="O134" t="s">
        <v>23</v>
      </c>
      <c r="P134">
        <v>0.04</v>
      </c>
      <c r="R134">
        <v>7</v>
      </c>
      <c r="S134" t="s">
        <v>23</v>
      </c>
      <c r="T134">
        <v>0.03</v>
      </c>
    </row>
    <row r="135" spans="2:20" x14ac:dyDescent="0.35">
      <c r="B135">
        <v>8</v>
      </c>
      <c r="C135" t="s">
        <v>123</v>
      </c>
      <c r="D135">
        <v>0.04</v>
      </c>
      <c r="N135">
        <v>8</v>
      </c>
      <c r="O135" t="s">
        <v>44</v>
      </c>
      <c r="P135">
        <v>0.04</v>
      </c>
      <c r="R135">
        <v>8</v>
      </c>
      <c r="S135" t="s">
        <v>123</v>
      </c>
      <c r="T135">
        <v>0.02</v>
      </c>
    </row>
    <row r="136" spans="2:20" x14ac:dyDescent="0.35">
      <c r="B136">
        <v>9</v>
      </c>
      <c r="C136" t="s">
        <v>26</v>
      </c>
      <c r="D136">
        <v>0.04</v>
      </c>
      <c r="N136">
        <v>9</v>
      </c>
      <c r="O136" t="s">
        <v>135</v>
      </c>
      <c r="P136">
        <v>0.02</v>
      </c>
      <c r="S136" t="s">
        <v>34</v>
      </c>
      <c r="T136">
        <v>0.05</v>
      </c>
    </row>
    <row r="137" spans="2:20" x14ac:dyDescent="0.35">
      <c r="B137">
        <v>10</v>
      </c>
      <c r="C137" t="s">
        <v>30</v>
      </c>
      <c r="D137">
        <v>0.04</v>
      </c>
      <c r="O137" t="s">
        <v>34</v>
      </c>
      <c r="P137">
        <v>0.06</v>
      </c>
    </row>
    <row r="138" spans="2:20" x14ac:dyDescent="0.35">
      <c r="B138">
        <v>11</v>
      </c>
      <c r="C138" t="s">
        <v>144</v>
      </c>
      <c r="D138">
        <v>0.03</v>
      </c>
    </row>
    <row r="139" spans="2:20" x14ac:dyDescent="0.35">
      <c r="B139">
        <v>12</v>
      </c>
      <c r="C139" t="s">
        <v>23</v>
      </c>
      <c r="D139">
        <v>0.03</v>
      </c>
    </row>
    <row r="140" spans="2:20" x14ac:dyDescent="0.35">
      <c r="B140">
        <v>13</v>
      </c>
      <c r="C140" t="s">
        <v>137</v>
      </c>
      <c r="D140">
        <v>0.02</v>
      </c>
    </row>
    <row r="141" spans="2:20" x14ac:dyDescent="0.35">
      <c r="B141">
        <v>14</v>
      </c>
      <c r="C141" t="s">
        <v>143</v>
      </c>
      <c r="D141">
        <v>0.02</v>
      </c>
    </row>
    <row r="142" spans="2:20" x14ac:dyDescent="0.35">
      <c r="B142">
        <v>15</v>
      </c>
      <c r="C142" t="s">
        <v>128</v>
      </c>
      <c r="D142">
        <v>0.02</v>
      </c>
    </row>
    <row r="143" spans="2:20" x14ac:dyDescent="0.35">
      <c r="B143">
        <v>16</v>
      </c>
      <c r="C143" t="s">
        <v>135</v>
      </c>
      <c r="D143">
        <v>0.02</v>
      </c>
    </row>
    <row r="144" spans="2:20" x14ac:dyDescent="0.35">
      <c r="C144" t="s">
        <v>34</v>
      </c>
      <c r="D144">
        <v>0.04</v>
      </c>
    </row>
    <row r="145" spans="2:20" x14ac:dyDescent="0.35">
      <c r="B145" t="s">
        <v>146</v>
      </c>
      <c r="D145">
        <v>9600</v>
      </c>
      <c r="F145" t="s">
        <v>146</v>
      </c>
      <c r="H145">
        <v>2064</v>
      </c>
      <c r="J145" t="s">
        <v>146</v>
      </c>
      <c r="L145">
        <v>1664</v>
      </c>
      <c r="N145" t="s">
        <v>146</v>
      </c>
      <c r="P145">
        <v>2283</v>
      </c>
      <c r="R145" t="s">
        <v>146</v>
      </c>
      <c r="T145">
        <v>4851</v>
      </c>
    </row>
    <row r="148" spans="2:20" x14ac:dyDescent="0.35">
      <c r="B148" t="s">
        <v>148</v>
      </c>
      <c r="G148" t="s">
        <v>134</v>
      </c>
    </row>
    <row r="150" spans="2:20" x14ac:dyDescent="0.35">
      <c r="B150" t="s">
        <v>101</v>
      </c>
      <c r="F150" t="s">
        <v>102</v>
      </c>
      <c r="J150" t="s">
        <v>103</v>
      </c>
      <c r="N150" t="s">
        <v>104</v>
      </c>
      <c r="R150" t="s">
        <v>105</v>
      </c>
    </row>
    <row r="151" spans="2:20" x14ac:dyDescent="0.35">
      <c r="B151" t="s">
        <v>20</v>
      </c>
      <c r="C151" t="s">
        <v>21</v>
      </c>
      <c r="D151" t="s">
        <v>22</v>
      </c>
      <c r="F151" t="s">
        <v>20</v>
      </c>
      <c r="G151" t="s">
        <v>21</v>
      </c>
      <c r="H151" t="s">
        <v>22</v>
      </c>
      <c r="J151" t="s">
        <v>20</v>
      </c>
      <c r="K151" t="s">
        <v>21</v>
      </c>
      <c r="L151" t="s">
        <v>22</v>
      </c>
      <c r="N151" t="s">
        <v>20</v>
      </c>
      <c r="O151" t="s">
        <v>21</v>
      </c>
      <c r="P151" t="s">
        <v>22</v>
      </c>
      <c r="R151" t="s">
        <v>20</v>
      </c>
      <c r="S151" t="s">
        <v>21</v>
      </c>
      <c r="T151" t="s">
        <v>22</v>
      </c>
    </row>
    <row r="152" spans="2:20" x14ac:dyDescent="0.35">
      <c r="B152">
        <v>1</v>
      </c>
      <c r="C152" t="s">
        <v>121</v>
      </c>
      <c r="D152">
        <v>0.26</v>
      </c>
      <c r="F152">
        <v>1</v>
      </c>
      <c r="G152" t="s">
        <v>109</v>
      </c>
      <c r="H152">
        <v>0.56999999999999995</v>
      </c>
      <c r="J152">
        <v>1</v>
      </c>
      <c r="K152" t="s">
        <v>109</v>
      </c>
      <c r="L152">
        <v>0.48</v>
      </c>
      <c r="N152">
        <v>1</v>
      </c>
      <c r="O152" t="s">
        <v>121</v>
      </c>
      <c r="P152">
        <v>0.32</v>
      </c>
      <c r="R152">
        <v>1</v>
      </c>
      <c r="S152" t="s">
        <v>121</v>
      </c>
      <c r="T152">
        <v>0.28000000000000003</v>
      </c>
    </row>
    <row r="153" spans="2:20" x14ac:dyDescent="0.35">
      <c r="B153">
        <v>2</v>
      </c>
      <c r="C153" t="s">
        <v>24</v>
      </c>
      <c r="D153">
        <v>0.14000000000000001</v>
      </c>
      <c r="F153">
        <v>2</v>
      </c>
      <c r="G153" t="s">
        <v>108</v>
      </c>
      <c r="H153">
        <v>0.32</v>
      </c>
      <c r="J153">
        <v>2</v>
      </c>
      <c r="K153" t="s">
        <v>135</v>
      </c>
      <c r="L153">
        <v>0.23</v>
      </c>
      <c r="N153">
        <v>2</v>
      </c>
      <c r="O153" t="s">
        <v>123</v>
      </c>
      <c r="P153">
        <v>0.17</v>
      </c>
      <c r="R153">
        <v>2</v>
      </c>
      <c r="S153" t="s">
        <v>24</v>
      </c>
      <c r="T153">
        <v>0.2</v>
      </c>
    </row>
    <row r="154" spans="2:20" x14ac:dyDescent="0.35">
      <c r="B154">
        <v>3</v>
      </c>
      <c r="C154" t="s">
        <v>26</v>
      </c>
      <c r="D154">
        <v>0.12</v>
      </c>
      <c r="F154">
        <v>3</v>
      </c>
      <c r="G154" t="s">
        <v>143</v>
      </c>
      <c r="H154">
        <v>0.06</v>
      </c>
      <c r="J154">
        <v>3</v>
      </c>
      <c r="K154" t="s">
        <v>121</v>
      </c>
      <c r="L154">
        <v>0.12</v>
      </c>
      <c r="N154">
        <v>3</v>
      </c>
      <c r="O154" t="s">
        <v>109</v>
      </c>
      <c r="P154">
        <v>0.1</v>
      </c>
      <c r="R154">
        <v>3</v>
      </c>
      <c r="S154" t="s">
        <v>26</v>
      </c>
      <c r="T154">
        <v>0.19</v>
      </c>
    </row>
    <row r="155" spans="2:20" x14ac:dyDescent="0.35">
      <c r="B155">
        <v>4</v>
      </c>
      <c r="C155" t="s">
        <v>112</v>
      </c>
      <c r="D155">
        <v>0.11</v>
      </c>
      <c r="F155">
        <v>4</v>
      </c>
      <c r="G155" t="s">
        <v>122</v>
      </c>
      <c r="H155">
        <v>0.02</v>
      </c>
      <c r="J155">
        <v>4</v>
      </c>
      <c r="K155" t="s">
        <v>44</v>
      </c>
      <c r="L155">
        <v>0.09</v>
      </c>
      <c r="N155">
        <v>4</v>
      </c>
      <c r="O155" t="s">
        <v>132</v>
      </c>
      <c r="P155">
        <v>0.09</v>
      </c>
      <c r="R155">
        <v>4</v>
      </c>
      <c r="S155" t="s">
        <v>112</v>
      </c>
      <c r="T155">
        <v>0.17</v>
      </c>
    </row>
    <row r="156" spans="2:20" x14ac:dyDescent="0.35">
      <c r="B156">
        <v>5</v>
      </c>
      <c r="C156" t="s">
        <v>109</v>
      </c>
      <c r="D156">
        <v>0.08</v>
      </c>
      <c r="F156">
        <v>5</v>
      </c>
      <c r="G156" t="s">
        <v>150</v>
      </c>
      <c r="H156">
        <v>0.02</v>
      </c>
      <c r="J156">
        <v>5</v>
      </c>
      <c r="K156" t="s">
        <v>144</v>
      </c>
      <c r="L156">
        <v>0.03</v>
      </c>
      <c r="N156">
        <v>5</v>
      </c>
      <c r="O156" t="s">
        <v>30</v>
      </c>
      <c r="P156">
        <v>0.08</v>
      </c>
      <c r="R156">
        <v>5</v>
      </c>
      <c r="S156" t="s">
        <v>136</v>
      </c>
      <c r="T156">
        <v>0.06</v>
      </c>
    </row>
    <row r="157" spans="2:20" x14ac:dyDescent="0.35">
      <c r="B157">
        <v>6</v>
      </c>
      <c r="C157" t="s">
        <v>136</v>
      </c>
      <c r="D157">
        <v>0.04</v>
      </c>
      <c r="G157" t="s">
        <v>34</v>
      </c>
      <c r="H157">
        <v>0.01</v>
      </c>
      <c r="K157" t="s">
        <v>34</v>
      </c>
      <c r="L157">
        <v>0.05</v>
      </c>
      <c r="N157">
        <v>6</v>
      </c>
      <c r="O157" t="s">
        <v>44</v>
      </c>
      <c r="P157">
        <v>0.06</v>
      </c>
      <c r="R157">
        <v>6</v>
      </c>
      <c r="S157" t="s">
        <v>141</v>
      </c>
      <c r="T157">
        <v>0.03</v>
      </c>
    </row>
    <row r="158" spans="2:20" x14ac:dyDescent="0.35">
      <c r="B158">
        <v>7</v>
      </c>
      <c r="C158" t="s">
        <v>108</v>
      </c>
      <c r="D158">
        <v>0.04</v>
      </c>
      <c r="N158">
        <v>7</v>
      </c>
      <c r="O158" t="s">
        <v>23</v>
      </c>
      <c r="P158">
        <v>0.06</v>
      </c>
      <c r="R158">
        <v>7</v>
      </c>
      <c r="S158" t="s">
        <v>123</v>
      </c>
      <c r="T158">
        <v>0.02</v>
      </c>
    </row>
    <row r="159" spans="2:20" x14ac:dyDescent="0.35">
      <c r="B159">
        <v>8</v>
      </c>
      <c r="C159" t="s">
        <v>123</v>
      </c>
      <c r="D159">
        <v>0.04</v>
      </c>
      <c r="N159">
        <v>8</v>
      </c>
      <c r="O159" t="s">
        <v>144</v>
      </c>
      <c r="P159">
        <v>0.02</v>
      </c>
      <c r="S159" t="s">
        <v>34</v>
      </c>
      <c r="T159">
        <v>0.04</v>
      </c>
    </row>
    <row r="160" spans="2:20" x14ac:dyDescent="0.35">
      <c r="B160">
        <v>9</v>
      </c>
      <c r="C160" t="s">
        <v>149</v>
      </c>
      <c r="D160">
        <v>0.04</v>
      </c>
      <c r="O160" t="s">
        <v>34</v>
      </c>
      <c r="P160">
        <v>0.1</v>
      </c>
    </row>
    <row r="161" spans="2:20" x14ac:dyDescent="0.35">
      <c r="B161">
        <v>10</v>
      </c>
      <c r="C161" t="s">
        <v>141</v>
      </c>
      <c r="D161">
        <v>0.03</v>
      </c>
    </row>
    <row r="162" spans="2:20" x14ac:dyDescent="0.35">
      <c r="B162">
        <v>11</v>
      </c>
      <c r="C162" t="s">
        <v>44</v>
      </c>
      <c r="D162">
        <v>0.02</v>
      </c>
    </row>
    <row r="163" spans="2:20" x14ac:dyDescent="0.35">
      <c r="C163" t="s">
        <v>34</v>
      </c>
      <c r="D163">
        <v>0.08</v>
      </c>
    </row>
    <row r="164" spans="2:20" x14ac:dyDescent="0.35">
      <c r="B164" t="s">
        <v>151</v>
      </c>
      <c r="D164">
        <v>13817</v>
      </c>
      <c r="F164" t="s">
        <v>151</v>
      </c>
      <c r="H164">
        <v>1923</v>
      </c>
      <c r="J164" t="s">
        <v>151</v>
      </c>
      <c r="L164">
        <v>1829</v>
      </c>
      <c r="N164" t="s">
        <v>151</v>
      </c>
      <c r="P164">
        <v>2025</v>
      </c>
      <c r="R164" t="s">
        <v>151</v>
      </c>
      <c r="T164">
        <v>9194</v>
      </c>
    </row>
    <row r="166" spans="2:20" x14ac:dyDescent="0.35">
      <c r="B166" t="s">
        <v>152</v>
      </c>
      <c r="G166" t="s">
        <v>134</v>
      </c>
    </row>
    <row r="168" spans="2:20" x14ac:dyDescent="0.35">
      <c r="B168" t="s">
        <v>101</v>
      </c>
      <c r="F168" t="s">
        <v>102</v>
      </c>
      <c r="J168" t="s">
        <v>103</v>
      </c>
      <c r="N168" t="s">
        <v>104</v>
      </c>
      <c r="R168" t="s">
        <v>105</v>
      </c>
    </row>
    <row r="169" spans="2:20" x14ac:dyDescent="0.35">
      <c r="B169" t="s">
        <v>20</v>
      </c>
      <c r="C169" t="s">
        <v>21</v>
      </c>
      <c r="D169" t="s">
        <v>22</v>
      </c>
      <c r="F169" t="s">
        <v>20</v>
      </c>
      <c r="G169" t="s">
        <v>21</v>
      </c>
      <c r="H169" t="s">
        <v>22</v>
      </c>
      <c r="J169" t="s">
        <v>20</v>
      </c>
      <c r="K169" t="s">
        <v>21</v>
      </c>
      <c r="L169" t="s">
        <v>22</v>
      </c>
      <c r="N169" t="s">
        <v>20</v>
      </c>
      <c r="O169" t="s">
        <v>21</v>
      </c>
      <c r="P169" t="s">
        <v>22</v>
      </c>
      <c r="R169" t="s">
        <v>20</v>
      </c>
      <c r="S169" t="s">
        <v>21</v>
      </c>
      <c r="T169" t="s">
        <v>22</v>
      </c>
    </row>
    <row r="170" spans="2:20" x14ac:dyDescent="0.35">
      <c r="B170">
        <v>1</v>
      </c>
      <c r="C170" t="s">
        <v>121</v>
      </c>
      <c r="D170">
        <v>0.28000000000000003</v>
      </c>
      <c r="F170">
        <v>1</v>
      </c>
      <c r="G170" t="s">
        <v>109</v>
      </c>
      <c r="H170">
        <v>0.56999999999999995</v>
      </c>
      <c r="J170">
        <v>1</v>
      </c>
      <c r="K170" t="s">
        <v>109</v>
      </c>
      <c r="L170">
        <v>0.38</v>
      </c>
      <c r="N170">
        <v>1</v>
      </c>
      <c r="O170" t="s">
        <v>123</v>
      </c>
      <c r="P170">
        <v>0.36</v>
      </c>
      <c r="R170">
        <v>1</v>
      </c>
      <c r="S170" t="s">
        <v>121</v>
      </c>
      <c r="T170">
        <v>0.32</v>
      </c>
    </row>
    <row r="171" spans="2:20" x14ac:dyDescent="0.35">
      <c r="B171">
        <v>2</v>
      </c>
      <c r="C171" t="s">
        <v>26</v>
      </c>
      <c r="D171">
        <v>0.14000000000000001</v>
      </c>
      <c r="F171">
        <v>2</v>
      </c>
      <c r="G171" t="s">
        <v>108</v>
      </c>
      <c r="H171">
        <v>0.39</v>
      </c>
      <c r="J171">
        <v>2</v>
      </c>
      <c r="K171" t="s">
        <v>149</v>
      </c>
      <c r="L171">
        <v>0.26</v>
      </c>
      <c r="N171">
        <v>2</v>
      </c>
      <c r="O171" t="s">
        <v>121</v>
      </c>
      <c r="P171">
        <v>0.28000000000000003</v>
      </c>
      <c r="R171">
        <v>2</v>
      </c>
      <c r="S171" t="s">
        <v>26</v>
      </c>
      <c r="T171">
        <v>0.22</v>
      </c>
    </row>
    <row r="172" spans="2:20" x14ac:dyDescent="0.35">
      <c r="B172">
        <v>3</v>
      </c>
      <c r="C172" t="s">
        <v>112</v>
      </c>
      <c r="D172">
        <v>0.12</v>
      </c>
      <c r="F172">
        <v>3</v>
      </c>
      <c r="G172" t="s">
        <v>122</v>
      </c>
      <c r="H172">
        <v>0.02</v>
      </c>
      <c r="J172">
        <v>3</v>
      </c>
      <c r="K172" t="s">
        <v>121</v>
      </c>
      <c r="L172">
        <v>0.2</v>
      </c>
      <c r="N172">
        <v>3</v>
      </c>
      <c r="O172" t="s">
        <v>30</v>
      </c>
      <c r="P172">
        <v>0.12</v>
      </c>
      <c r="R172">
        <v>3</v>
      </c>
      <c r="S172" t="s">
        <v>24</v>
      </c>
      <c r="T172">
        <v>0.1</v>
      </c>
    </row>
    <row r="173" spans="2:20" x14ac:dyDescent="0.35">
      <c r="B173">
        <v>4</v>
      </c>
      <c r="C173" t="s">
        <v>149</v>
      </c>
      <c r="D173">
        <v>0.09</v>
      </c>
      <c r="F173">
        <v>4</v>
      </c>
      <c r="G173" t="s">
        <v>147</v>
      </c>
      <c r="H173">
        <v>0.01</v>
      </c>
      <c r="J173">
        <v>4</v>
      </c>
      <c r="K173" t="s">
        <v>44</v>
      </c>
      <c r="L173">
        <v>0.13</v>
      </c>
      <c r="N173">
        <v>4</v>
      </c>
      <c r="O173" t="s">
        <v>44</v>
      </c>
      <c r="P173">
        <v>0.09</v>
      </c>
      <c r="R173">
        <v>4</v>
      </c>
      <c r="S173" t="s">
        <v>141</v>
      </c>
      <c r="T173">
        <v>0.1</v>
      </c>
    </row>
    <row r="174" spans="2:20" x14ac:dyDescent="0.35">
      <c r="B174">
        <v>5</v>
      </c>
      <c r="C174" t="s">
        <v>109</v>
      </c>
      <c r="D174">
        <v>0.09</v>
      </c>
      <c r="G174" t="s">
        <v>34</v>
      </c>
      <c r="H174">
        <v>0.02</v>
      </c>
      <c r="J174">
        <v>5</v>
      </c>
      <c r="K174" t="s">
        <v>42</v>
      </c>
      <c r="L174">
        <v>0.02</v>
      </c>
      <c r="N174">
        <v>5</v>
      </c>
      <c r="O174" t="s">
        <v>109</v>
      </c>
      <c r="P174">
        <v>7.0000000000000007E-2</v>
      </c>
      <c r="R174">
        <v>5</v>
      </c>
      <c r="S174" t="s">
        <v>112</v>
      </c>
      <c r="T174">
        <v>0.09</v>
      </c>
    </row>
    <row r="175" spans="2:20" x14ac:dyDescent="0.35">
      <c r="B175">
        <v>6</v>
      </c>
      <c r="C175" t="s">
        <v>24</v>
      </c>
      <c r="D175">
        <v>0.06</v>
      </c>
      <c r="J175">
        <v>6</v>
      </c>
      <c r="K175" t="s">
        <v>123</v>
      </c>
      <c r="L175">
        <v>0.01</v>
      </c>
      <c r="N175">
        <v>6</v>
      </c>
      <c r="O175" t="s">
        <v>149</v>
      </c>
      <c r="P175">
        <v>0.04</v>
      </c>
      <c r="R175">
        <v>6</v>
      </c>
      <c r="S175" t="s">
        <v>149</v>
      </c>
      <c r="T175">
        <v>0.04</v>
      </c>
    </row>
    <row r="176" spans="2:20" x14ac:dyDescent="0.35">
      <c r="B176">
        <v>7</v>
      </c>
      <c r="C176" t="s">
        <v>108</v>
      </c>
      <c r="D176">
        <v>0.06</v>
      </c>
      <c r="K176" t="s">
        <v>34</v>
      </c>
      <c r="L176">
        <v>0.02</v>
      </c>
      <c r="O176" t="s">
        <v>34</v>
      </c>
      <c r="P176">
        <v>0.05</v>
      </c>
      <c r="R176">
        <v>7</v>
      </c>
      <c r="S176" t="s">
        <v>123</v>
      </c>
      <c r="T176">
        <v>0.03</v>
      </c>
    </row>
    <row r="177" spans="2:20" x14ac:dyDescent="0.35">
      <c r="B177">
        <v>8</v>
      </c>
      <c r="C177" t="s">
        <v>123</v>
      </c>
      <c r="D177">
        <v>0.05</v>
      </c>
      <c r="S177" t="s">
        <v>34</v>
      </c>
      <c r="T177">
        <v>0.08</v>
      </c>
    </row>
    <row r="178" spans="2:20" x14ac:dyDescent="0.35">
      <c r="B178">
        <v>9</v>
      </c>
      <c r="C178" t="s">
        <v>141</v>
      </c>
      <c r="D178">
        <v>0.05</v>
      </c>
    </row>
    <row r="179" spans="2:20" x14ac:dyDescent="0.35">
      <c r="B179">
        <v>10</v>
      </c>
      <c r="C179" t="s">
        <v>44</v>
      </c>
      <c r="D179">
        <v>0.04</v>
      </c>
    </row>
    <row r="180" spans="2:20" x14ac:dyDescent="0.35">
      <c r="C180" t="s">
        <v>34</v>
      </c>
      <c r="D180">
        <v>0.03</v>
      </c>
    </row>
    <row r="181" spans="2:20" x14ac:dyDescent="0.35">
      <c r="B181" t="s">
        <v>153</v>
      </c>
      <c r="D181">
        <v>9904</v>
      </c>
      <c r="F181" t="s">
        <v>153</v>
      </c>
      <c r="H181">
        <v>1516</v>
      </c>
      <c r="J181" t="s">
        <v>153</v>
      </c>
      <c r="L181">
        <v>2120</v>
      </c>
      <c r="N181" t="s">
        <v>153</v>
      </c>
      <c r="P181">
        <v>1105</v>
      </c>
      <c r="R181" t="s">
        <v>153</v>
      </c>
      <c r="T181">
        <v>6190</v>
      </c>
    </row>
  </sheetData>
  <mergeCells count="3">
    <mergeCell ref="B1:G1"/>
    <mergeCell ref="I1:K1"/>
    <mergeCell ref="T1:V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Name xmlns="d382aed9-cc96-421a-b6d1-bad087b40ea5" xsi:nil="true"/>
    <lcf76f155ced4ddcb4097134ff3c332f xmlns="d382aed9-cc96-421a-b6d1-bad087b40ea5">
      <Terms xmlns="http://schemas.microsoft.com/office/infopath/2007/PartnerControls"/>
    </lcf76f155ced4ddcb4097134ff3c332f>
    <TaxCatchAll xmlns="3c3bb480-5c86-45a4-be90-daa3829a93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7978D1E43DE4EA43DBD7340A406DC" ma:contentTypeVersion="16" ma:contentTypeDescription="Create a new document." ma:contentTypeScope="" ma:versionID="1d2a0579b8367a5d14f15657bceede69">
  <xsd:schema xmlns:xsd="http://www.w3.org/2001/XMLSchema" xmlns:xs="http://www.w3.org/2001/XMLSchema" xmlns:p="http://schemas.microsoft.com/office/2006/metadata/properties" xmlns:ns2="d382aed9-cc96-421a-b6d1-bad087b40ea5" xmlns:ns3="3c3bb480-5c86-45a4-be90-daa3829a93c5" targetNamespace="http://schemas.microsoft.com/office/2006/metadata/properties" ma:root="true" ma:fieldsID="6184784662eaf13c68ab2ee7ade41035" ns2:_="" ns3:_="">
    <xsd:import namespace="d382aed9-cc96-421a-b6d1-bad087b40ea5"/>
    <xsd:import namespace="3c3bb480-5c86-45a4-be90-daa3829a9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ProcessNa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2aed9-cc96-421a-b6d1-bad087b40e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834da80-57da-4863-8816-2e6886d1e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cessName" ma:index="21" nillable="true" ma:displayName="Process Name" ma:format="Dropdown" ma:internalName="ProcessName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bb480-5c86-45a4-be90-daa3829a93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e120fb5-6737-4d21-bc5c-67a711e42345}" ma:internalName="TaxCatchAll" ma:showField="CatchAllData" ma:web="3c3bb480-5c86-45a4-be90-daa3829a9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55CD45-2F25-4965-9590-C756C8D0B15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3c3bb480-5c86-45a4-be90-daa3829a93c5"/>
    <ds:schemaRef ds:uri="http://purl.org/dc/terms/"/>
    <ds:schemaRef ds:uri="d382aed9-cc96-421a-b6d1-bad087b40ea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D15763B-BC3F-44A0-B84D-0D65F1925A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8357D9-61C4-4864-BD66-2D2D973EC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2aed9-cc96-421a-b6d1-bad087b40ea5"/>
    <ds:schemaRef ds:uri="3c3bb480-5c86-45a4-be90-daa3829a93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Maths</vt:lpstr>
      <vt:lpstr>yole2023</vt:lpstr>
      <vt:lpstr>WoodMacInverterCompany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Mirletz, Heather</cp:lastModifiedBy>
  <cp:revision/>
  <dcterms:created xsi:type="dcterms:W3CDTF">2025-04-08T14:27:03Z</dcterms:created>
  <dcterms:modified xsi:type="dcterms:W3CDTF">2025-06-16T19:54:15Z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0x010100E1D7978D1E43DE4EA43DBD7340A406DC</vt:lpwstr>
  </property>
  <property fmtid="{D5CDD505-2E9C-101B-9397-08002B2CF9AE}" pid="3" name="MediaServiceImageTags">
    <vt:lpwstr/>
  </property>
</Properties>
</file>